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28d2447c9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41053dd2f4447bf"/>
    <x:sheet xmlns:r="http://schemas.openxmlformats.org/officeDocument/2006/relationships" name="Sales Pipeline" sheetId="2" r:id="R3e4eddf4e76e4aa1"/>
    <x:sheet xmlns:r="http://schemas.openxmlformats.org/officeDocument/2006/relationships" name="Lead Scoring" sheetId="3" r:id="R82738291aa164391"/>
    <x:sheet xmlns:r="http://schemas.openxmlformats.org/officeDocument/2006/relationships" name="Territory Performance" sheetId="4" r:id="R32ecb24bbfe840b1"/>
    <x:sheet xmlns:r="http://schemas.openxmlformats.org/officeDocument/2006/relationships" name="Revenue Forecast" sheetId="5" r:id="R0d2e4e7803f8437c"/>
    <x:sheet xmlns:r="http://schemas.openxmlformats.org/officeDocument/2006/relationships" name="Contracts" sheetId="6" r:id="Rf6d50cd535c84044"/>
    <x:sheet xmlns:r="http://schemas.openxmlformats.org/officeDocument/2006/relationships" name="KPI Definitions" sheetId="7" r:id="R55754ec48738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INR &quot;#,##0;(&quot;INR &quot;#,##0);&quot;-&quot;"/>
    <x:numFmt numFmtId="201" formatCode="dd-mmm-yy"/>
    <x:numFmt numFmtId="202" formatCode="0.0"/>
    <x:numFmt numFmtId="203" formatCode="0.0%"/>
  </x:numFmts>
  <x:fonts count="6">
    <x:font>
      <x:sz val="11"/>
      <x:name val="Carlito"/>
    </x:font>
    <x:font>
      <x:sz val="11"/>
      <x:color rgb="FF10283F"/>
      <x:name val="Arial"/>
    </x:font>
    <x:font>
      <x:b/>
      <x:sz val="16"/>
      <x:color rgb="FF10283F"/>
      <x:name val="Arial"/>
    </x:font>
    <x:font>
      <x:i/>
      <x:sz val="10"/>
      <x:color rgb="FF526475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E5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DE2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b9571ac984a59" /><Relationship Type="http://schemas.openxmlformats.org/officeDocument/2006/relationships/theme" Target="/xl/theme/theme1.xml" Id="Rbbddda5ffc2246ca" /><Relationship Type="http://schemas.openxmlformats.org/officeDocument/2006/relationships/sharedStrings" Target="/xl/sharedStrings.xml" Id="Re195077335584e68" /><Relationship Type="http://schemas.openxmlformats.org/officeDocument/2006/relationships/worksheet" Target="/xl/worksheets/sheet1.xml" Id="R541053dd2f4447bf" /><Relationship Type="http://schemas.openxmlformats.org/officeDocument/2006/relationships/worksheet" Target="/xl/worksheets/sheet2.xml" Id="R3e4eddf4e76e4aa1" /><Relationship Type="http://schemas.openxmlformats.org/officeDocument/2006/relationships/worksheet" Target="/xl/worksheets/sheet3.xml" Id="R82738291aa164391" /><Relationship Type="http://schemas.openxmlformats.org/officeDocument/2006/relationships/worksheet" Target="/xl/worksheets/sheet4.xml" Id="R32ecb24bbfe840b1" /><Relationship Type="http://schemas.openxmlformats.org/officeDocument/2006/relationships/worksheet" Target="/xl/worksheets/sheet5.xml" Id="R0d2e4e7803f8437c" /><Relationship Type="http://schemas.openxmlformats.org/officeDocument/2006/relationships/worksheet" Target="/xl/worksheets/sheet6.xml" Id="Rf6d50cd535c84044" /><Relationship Type="http://schemas.openxmlformats.org/officeDocument/2006/relationships/worksheet" Target="/xl/worksheets/sheet7.xml" Id="R55754ec4873840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b36549e0e04fe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f583b5360d54da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0b2bed7c9094e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Q4 new bookings scenarios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New bookings INR</c:v>
          </c:tx>
          <c:invertIfNegative val="0"/>
          <c:cat>
            <c:strRef>
              <c:f>'Executive Summary'!$D$6:$D$8</c:f>
              <c:strCache>
                <c:ptCount val="0"/>
              </c:strCache>
            </c:strRef>
          </c:cat>
          <c:val>
            <c:numRef>
              <c:f>'Executive Summary'!$E$6:$E$8</c:f>
              <c:numCache>
                <c:formatCode>"INR "#,##0;("INR "#,##0);"-"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Active pipeline by territory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Pipeline INR</c:v>
          </c:tx>
          <c:invertIfNegative val="0"/>
          <c:cat>
            <c:strRef>
              <c:f>'Territory Performance'!$A$6:$A$11</c:f>
              <c:strCache>
                <c:ptCount val="0"/>
              </c:strCache>
            </c:strRef>
          </c:cat>
          <c:val>
            <c:numRef>
              <c:f>'Territory Performance'!$F$6:$F$11</c:f>
              <c:numCache>
                <c:formatCode>"INR "#,##0;("INR "#,##0);"-"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bookings (INR)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Forecast INR</c:v>
          </c:tx>
          <c:invertIfNegative val="0"/>
          <c:cat>
            <c:strRef>
              <c:f>'Revenue Forecast'!$J$6:$J$8</c:f>
              <c:strCache>
                <c:ptCount val="0"/>
              </c:strCache>
            </c:strRef>
          </c:cat>
          <c:val>
            <c:numRef>
              <c:f>'Revenue Forecast'!$L$6:$L$8</c:f>
              <c:numCache>
                <c:formatCode>"INR "#,##0;("INR "#,##0);"-"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b36549e0e04fe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583b5360d54da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b2bed7c9094e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PipelineTable" displayName="SalesPipelineTable" ref="A5:M605" headerRowCount="1" totalsRowCount="0" totalsRowShown="0">
  <x:tableColumns count="13">
    <x:tableColumn id="1" name="Opportunity"/>
    <x:tableColumn id="2" name="Institution"/>
    <x:tableColumn id="3" name="Territory"/>
    <x:tableColumn id="4" name="Stage"/>
    <x:tableColumn id="5" name="Status"/>
    <x:tableColumn id="6" name="Value INR"/>
    <x:tableColumn id="7" name="Created"/>
    <x:tableColumn id="8" name="Expected close"/>
    <x:tableColumn id="9" name="Actual close"/>
    <x:tableColumn id="10" name="Recognized INR"/>
    <x:tableColumn id="11" name="Score"/>
    <x:tableColumn id="12" name="Overdue"/>
    <x:tableColumn id="13" name="Stage 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adScoringTable" displayName="LeadScoringTable" ref="A5:L375" headerRowCount="1" totalsRowCount="0" totalsRowShown="0">
  <x:tableColumns count="12">
    <x:tableColumn id="1" name="Opportunity"/>
    <x:tableColumn id="2" name="Institution"/>
    <x:tableColumn id="3" name="Size"/>
    <x:tableColumn id="4" name="Market"/>
    <x:tableColumn id="5" name="Engagement"/>
    <x:tableColumn id="6" name="Segment"/>
    <x:tableColumn id="7" name="Response"/>
    <x:tableColumn id="8" name="Value"/>
    <x:tableColumn id="9" name="Stage"/>
    <x:tableColumn id="10" name="Recency"/>
    <x:tableColumn id="11" name="Total score"/>
    <x:tableColumn id="12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TerritoryPerformanceTable" displayName="TerritoryPerformanceTable" ref="A5:I11" headerRowCount="1" totalsRowCount="0" totalsRowShown="0">
  <x:tableColumns count="9">
    <x:tableColumn id="1" name="Territory"/>
    <x:tableColumn id="2" name="Opportunities"/>
    <x:tableColumn id="3" name="Open"/>
    <x:tableColumn id="4" name="Won"/>
    <x:tableColumn id="5" name="Lost"/>
    <x:tableColumn id="6" name="Pipeline INR"/>
    <x:tableColumn id="7" name="Signed INR"/>
    <x:tableColumn id="8" name="Win rate"/>
    <x:tableColumn id="9" name="Overd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enueForecastTable" displayName="RevenueForecastTable" ref="A5:H113" headerRowCount="1" totalsRowCount="0" totalsRowShown="0">
  <x:tableColumns count="8">
    <x:tableColumn id="1" name="Opportunity"/>
    <x:tableColumn id="2" name="Stage"/>
    <x:tableColumn id="3" name="Value INR"/>
    <x:tableColumn id="4" name="Expected close"/>
    <x:tableColumn id="5" name="Base probability"/>
    <x:tableColumn id="6" name="Conservative INR"/>
    <x:tableColumn id="7" name="Base INR"/>
    <x:tableColumn id="8" name="Optimistic IN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ContractsTable" displayName="ContractsTable" ref="A5:H62" headerRowCount="1" totalsRowCount="0" totalsRowShown="0">
  <x:tableColumns count="8">
    <x:tableColumn id="1" name="Contract"/>
    <x:tableColumn id="2" name="Opportunity"/>
    <x:tableColumn id="3" name="Signature"/>
    <x:tableColumn id="4" name="Value INR"/>
    <x:tableColumn id="5" name="Term days"/>
    <x:tableColumn id="6" name="Payment status"/>
    <x:tableColumn id="7" name="Accrued days"/>
    <x:tableColumn id="8" name="Recognized IN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PIDefinitionsTable" displayName="KPIDefinitionsTable" ref="A5:B17" headerRowCount="1" totalsRowCount="0" totalsRowShown="0">
  <x:tableColumns count="2">
    <x:tableColumn id="1" name="Metric or action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191a62ef1543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b1e14dbe8348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d3c103d2334a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edd53a88188544be" /><Relationship Type="http://schemas.openxmlformats.org/officeDocument/2006/relationships/table" Target="/xl/tables/table3.xml" Id="Ra84607cac0d94b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f74bd4f448394f21" /><Relationship Type="http://schemas.openxmlformats.org/officeDocument/2006/relationships/table" Target="/xl/tables/table4.xml" Id="R8eaac4703dc445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88d2cf94d444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3f6bb0ea8641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6" hidden="0" customWidth="1"/>
    <x:col min="3" max="3" width="20" hidden="0" customWidth="1"/>
    <x:col min="4" max="4" width="22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University partnership sales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3" t="str">
        <x:v>Portfolio simulation. 01 Oct 2025 to 30 Sep 2026. 600 institutions, eight sales representatives.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2" customHeight="1">
      <x:c r="A5" s="5" t="str">
        <x:v>Metric</x:v>
      </x:c>
      <x:c r="B5" s="5" t="str">
        <x:v>Result</x:v>
      </x:c>
      <x:c r="C5" s="1"/>
      <x:c r="D5" s="1" t="str">
        <x:v>Scenario</x:v>
      </x:c>
      <x:c r="E5" s="1" t="str">
        <x:v>New bookings INR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Institution prospects</x:v>
      </x:c>
      <x:c r="B6" s="1" t="n">
        <x:v>600</x:v>
      </x:c>
      <x:c r="C6" s="1"/>
      <x:c r="D6" s="1" t="str">
        <x:v>Conservative</x:v>
      </x:c>
      <x:c r="E6" s="7" t="n">
        <x:f>'Revenue Forecast'!L6</x:f>
        <x:v>3438260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Open opportunities</x:v>
      </x:c>
      <x:c r="B7" s="1" t="n">
        <x:f>COUNTIF('Sales Pipeline'!E6:E605,"Open")</x:f>
        <x:v>370</x:v>
      </x:c>
      <x:c r="C7" s="1"/>
      <x:c r="D7" s="1" t="str">
        <x:v>Base</x:v>
      </x:c>
      <x:c r="E7" s="7" t="n">
        <x:f>'Revenue Forecast'!L7</x:f>
        <x:v>4911800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Active pipeline INR</x:v>
      </x:c>
      <x:c r="B8" s="7" t="n">
        <x:f>SUMIF('Sales Pipeline'!E6:E605,"Open",'Sales Pipeline'!F6:F605)</x:f>
        <x:v>109230000</x:v>
      </x:c>
      <x:c r="C8" s="1"/>
      <x:c r="D8" s="1" t="str">
        <x:v>Optimistic</x:v>
      </x:c>
      <x:c r="E8" s="7" t="n">
        <x:f>'Revenue Forecast'!L8</x:f>
        <x:v>6385340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Partnerships won</x:v>
      </x:c>
      <x:c r="B9" s="1" t="n">
        <x:f>COUNTIF('Sales Pipeline'!E6:E605,"Won")</x:f>
        <x:v>57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 t="str">
        <x:v>Signed value INR</x:v>
      </x:c>
      <x:c r="B10" s="7" t="n">
        <x:f>SUMIF('Sales Pipeline'!E6:E605,"Won",'Sales Pipeline'!F6:F605)</x:f>
        <x:v>16886000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Recognized revenue INR</x:v>
      </x:c>
      <x:c r="B11" s="7" t="n">
        <x:f>SUM(Contracts!H6:H62)</x:f>
        <x:v>5736156.170000001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 t="str">
        <x:v>Closed-deal win rate</x:v>
      </x:c>
      <x:c r="B12" s="12" t="n">
        <x:f>IFERROR(B9/(B9+COUNTIF('Sales Pipeline'!E6:E605,"Lost")),"N/A")</x:f>
        <x:v>0.24782608695652175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 t="str">
        <x:v>Average won deal INR</x:v>
      </x:c>
      <x:c r="B13" s="7" t="n">
        <x:f>IFERROR(B10/B9,"N/A")</x:f>
        <x:v>296245.6140350877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 t="str">
        <x:v>Overdue follow-ups</x:v>
      </x:c>
      <x:c r="B14" s="1" t="n">
        <x:f>SUM('Sales Pipeline'!L6:L605)</x:f>
        <x:v>222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 t="str">
        <x:v>Q4 base bookings forecast INR</x:v>
      </x:c>
      <x:c r="B15" s="7" t="n">
        <x:f>'Revenue Forecast'!L7</x:f>
        <x:v>4911800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 t="str">
        <x:v>Review priorities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 t="str">
        <x:v>222 overdue actions across 370 open deals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 t="str">
        <x:v>224 stale close dates need owner review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 t="str">
        <x:v>Source: seed 20261017, src/generate.py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 t="str">
        <x:v>Refresh: see docs/ARTIFACT_REFRESH.md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2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2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2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2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2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2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2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2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2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2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2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2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2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2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2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2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2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2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2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2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2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2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2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2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2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2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2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2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2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2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2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2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2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2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2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2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2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2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2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2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2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2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2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2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2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2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2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2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2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2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2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2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2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2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2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2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2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2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2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2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2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2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2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2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2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2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2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2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2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2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2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2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2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2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2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2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2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2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2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2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2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2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2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2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2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2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2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2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2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2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2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2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2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2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2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2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2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2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2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2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2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2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2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2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2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2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2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2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2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2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2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2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2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2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2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2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2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2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2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2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2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2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2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2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2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2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2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2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2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2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2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2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2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2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2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2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2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2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2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2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2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2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2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2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2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2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2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2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2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2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2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2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2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2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2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2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2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2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2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2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2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2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2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2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2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2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2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2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2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2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2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2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2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2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2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2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2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2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2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2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2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2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2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2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2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2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2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2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2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2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2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2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2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2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2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2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2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2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2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2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2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2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2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2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2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2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2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2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2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2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2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2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2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2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2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2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2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2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2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2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2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2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2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2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2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2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2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2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2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2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2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2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2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2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2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2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2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2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2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2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2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2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2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2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2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2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2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2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2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2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2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2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2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2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2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2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2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2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2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2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2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2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2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2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2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2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2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2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2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2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2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2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2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2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2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2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2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2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2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2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2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2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2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2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2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2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2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2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2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2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2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2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2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2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2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2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2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2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2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2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2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2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2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2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2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2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2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2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2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2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2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2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2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2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2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2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2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2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2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2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2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2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2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2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2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2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2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2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2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2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2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2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2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2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2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2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2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2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2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2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2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2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2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2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2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2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2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2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2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2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2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2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2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2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2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2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2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2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2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2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2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2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2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2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2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2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2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2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2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2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2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2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2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2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2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2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2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2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2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2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2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2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2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2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2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2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2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2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2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2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2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2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2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2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2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2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2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2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2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2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2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2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2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2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2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2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2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2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2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2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2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2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2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2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2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2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2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2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2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2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  <x:row r="601" ht="22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</x:row>
    <x:row r="602" ht="22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</x:row>
    <x:row r="603" ht="22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</x:row>
    <x:row r="604" ht="22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</x:row>
    <x:row r="605" ht="22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</x:row>
    <x:row r="606" ht="22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</x:row>
    <x:row r="607" ht="22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</x:row>
    <x:row r="608" ht="22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</x:row>
    <x:row r="609" ht="22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</x:row>
    <x:row r="610" ht="22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</x:row>
  </x:sheetData>
  <x:pageMargins left="0.7" right="0.7" top="0.75" bottom="0.75" header="0.3" footer="0.3"/>
  <x:drawing xmlns:r="http://schemas.openxmlformats.org/officeDocument/2006/relationships" r:id="R46191a62ef15434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52" hidden="0" customWidth="1"/>
    <x:col min="3" max="3" width="20" hidden="0" customWidth="1"/>
    <x:col min="4" max="4" width="2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Sales pipeline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3" t="str">
        <x:v>600 fictional opportunities. Snapshot 30 Sep 2026. Values in INR excluding tax.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6" t="str">
        <x:v>Opportunity</x:v>
      </x:c>
      <x:c r="B5" s="6" t="str">
        <x:v>Institution</x:v>
      </x:c>
      <x:c r="C5" s="6" t="str">
        <x:v>Territory</x:v>
      </x:c>
      <x:c r="D5" s="6" t="str">
        <x:v>Stage</x:v>
      </x:c>
      <x:c r="E5" s="6" t="str">
        <x:v>Status</x:v>
      </x:c>
      <x:c r="F5" s="6" t="str">
        <x:v>Value INR</x:v>
      </x:c>
      <x:c r="G5" s="6" t="str">
        <x:v>Created</x:v>
      </x:c>
      <x:c r="H5" s="6" t="str">
        <x:v>Expected close</x:v>
      </x:c>
      <x:c r="I5" s="6" t="str">
        <x:v>Actual close</x:v>
      </x:c>
      <x:c r="J5" s="6" t="str">
        <x:v>Recognized INR</x:v>
      </x:c>
      <x:c r="K5" s="6" t="str">
        <x:v>Score</x:v>
      </x:c>
      <x:c r="L5" s="6" t="str">
        <x:v>Overdue</x:v>
      </x:c>
      <x:c r="M5" s="6" t="str">
        <x:v>Stage age</x:v>
      </x:c>
      <x:c r="N5" s="1"/>
      <x:c r="O5" s="1"/>
      <x:c r="P5" s="1"/>
      <x:c r="Q5" s="1"/>
    </x:row>
    <x:row r="6" ht="22" customHeight="1">
      <x:c r="A6" s="1" t="str">
        <x:v>O0001</x:v>
      </x:c>
      <x:c r="B6" s="1" t="str">
        <x:v>Simulated New Delhi Management Institute 001</x:v>
      </x:c>
      <x:c r="C6" s="1" t="str">
        <x:v>North</x:v>
      </x:c>
      <x:c r="D6" s="1" t="str">
        <x:v>Closed Won</x:v>
      </x:c>
      <x:c r="E6" s="1" t="str">
        <x:v>Won</x:v>
      </x:c>
      <x:c r="F6" s="7" t="n">
        <x:v>104000</x:v>
      </x:c>
      <x:c r="G6" s="8" t="d">
        <x:v>2026-01-02T00:00:00.000Z</x:v>
      </x:c>
      <x:c r="H6" s="8" t="d">
        <x:v>2026-04-09T00:00:00.000Z</x:v>
      </x:c>
      <x:c r="I6" s="8" t="d">
        <x:v>2026-05-15T00:00:00.000Z</x:v>
      </x:c>
      <x:c r="J6" s="7" t="n">
        <x:v>39605.48</x:v>
      </x:c>
      <x:c r="K6" s="1" t="n">
        <x:v>0</x:v>
      </x:c>
      <x:c r="L6" s="1" t="n">
        <x:v>0</x:v>
      </x:c>
      <x:c r="M6" s="1" t="n">
        <x:v>138</x:v>
      </x:c>
      <x:c r="N6" s="1"/>
      <x:c r="O6" s="1"/>
      <x:c r="P6" s="1"/>
      <x:c r="Q6" s="1"/>
    </x:row>
    <x:row r="7" ht="22" customHeight="1">
      <x:c r="A7" s="1" t="str">
        <x:v>O0002</x:v>
      </x:c>
      <x:c r="B7" s="1" t="str">
        <x:v>Simulated Noida Arts and Science College 002</x:v>
      </x:c>
      <x:c r="C7" s="1" t="str">
        <x:v>North</x:v>
      </x:c>
      <x:c r="D7" s="1" t="str">
        <x:v>Initial Contact</x:v>
      </x:c>
      <x:c r="E7" s="1" t="str">
        <x:v>Open</x:v>
      </x:c>
      <x:c r="F7" s="7" t="n">
        <x:v>249000</x:v>
      </x:c>
      <x:c r="G7" s="8" t="d">
        <x:v>2026-02-25T00:00:00.000Z</x:v>
      </x:c>
      <x:c r="H7" s="8" t="d">
        <x:v>2026-07-08T00:00:00.000Z</x:v>
      </x:c>
      <x:c r="I7" s="8"/>
      <x:c r="J7" s="7" t="n">
        <x:v>0</x:v>
      </x:c>
      <x:c r="K7" s="1" t="n">
        <x:v>48.84</x:v>
      </x:c>
      <x:c r="L7" s="1" t="n">
        <x:v>1</x:v>
      </x:c>
      <x:c r="M7" s="1" t="n">
        <x:v>177</x:v>
      </x:c>
      <x:c r="N7" s="1"/>
      <x:c r="O7" s="1"/>
      <x:c r="P7" s="1"/>
      <x:c r="Q7" s="1"/>
    </x:row>
    <x:row r="8" ht="22" customHeight="1">
      <x:c r="A8" s="1" t="str">
        <x:v>O0003</x:v>
      </x:c>
      <x:c r="B8" s="1" t="str">
        <x:v>Simulated Gurugram Engineering College 003</x:v>
      </x:c>
      <x:c r="C8" s="1" t="str">
        <x:v>North</x:v>
      </x:c>
      <x:c r="D8" s="1" t="str">
        <x:v>Prospect Identified</x:v>
      </x:c>
      <x:c r="E8" s="1" t="str">
        <x:v>Open</x:v>
      </x:c>
      <x:c r="F8" s="7" t="n">
        <x:v>258000</x:v>
      </x:c>
      <x:c r="G8" s="8" t="d">
        <x:v>2026-04-22T00:00:00.000Z</x:v>
      </x:c>
      <x:c r="H8" s="8" t="d">
        <x:v>2026-08-17T00:00:00.000Z</x:v>
      </x:c>
      <x:c r="I8" s="8"/>
      <x:c r="J8" s="7" t="n">
        <x:v>0</x:v>
      </x:c>
      <x:c r="K8" s="1" t="n">
        <x:v>58.27</x:v>
      </x:c>
      <x:c r="L8" s="1" t="n">
        <x:v>0</x:v>
      </x:c>
      <x:c r="M8" s="1" t="n">
        <x:v>161</x:v>
      </x:c>
      <x:c r="N8" s="1"/>
      <x:c r="O8" s="1"/>
      <x:c r="P8" s="1"/>
      <x:c r="Q8" s="1"/>
    </x:row>
    <x:row r="9" ht="22" customHeight="1">
      <x:c r="A9" s="1" t="str">
        <x:v>O0004</x:v>
      </x:c>
      <x:c r="B9" s="1" t="str">
        <x:v>Simulated Ludhiana University 004</x:v>
      </x:c>
      <x:c r="C9" s="1" t="str">
        <x:v>North</x:v>
      </x:c>
      <x:c r="D9" s="1" t="str">
        <x:v>Initial Contact</x:v>
      </x:c>
      <x:c r="E9" s="1" t="str">
        <x:v>Open</x:v>
      </x:c>
      <x:c r="F9" s="7" t="n">
        <x:v>171000</x:v>
      </x:c>
      <x:c r="G9" s="8" t="d">
        <x:v>2026-08-08T00:00:00.000Z</x:v>
      </x:c>
      <x:c r="H9" s="8" t="d">
        <x:v>2027-01-04T00:00:00.000Z</x:v>
      </x:c>
      <x:c r="I9" s="8"/>
      <x:c r="J9" s="7" t="n">
        <x:v>0</x:v>
      </x:c>
      <x:c r="K9" s="1" t="n">
        <x:v>52.54</x:v>
      </x:c>
      <x:c r="L9" s="1" t="n">
        <x:v>0</x:v>
      </x:c>
      <x:c r="M9" s="1" t="n">
        <x:v>34</x:v>
      </x:c>
      <x:c r="N9" s="1"/>
      <x:c r="O9" s="1"/>
      <x:c r="P9" s="1"/>
      <x:c r="Q9" s="1"/>
    </x:row>
    <x:row r="10" ht="22" customHeight="1">
      <x:c r="A10" s="1" t="str">
        <x:v>O0005</x:v>
      </x:c>
      <x:c r="B10" s="1" t="str">
        <x:v>Simulated Pune Management Institute 005</x:v>
      </x:c>
      <x:c r="C10" s="1" t="str">
        <x:v>West</x:v>
      </x:c>
      <x:c r="D10" s="1" t="str">
        <x:v>Closed Lost</x:v>
      </x:c>
      <x:c r="E10" s="1" t="str">
        <x:v>Lost</x:v>
      </x:c>
      <x:c r="F10" s="7" t="n">
        <x:v>206000</x:v>
      </x:c>
      <x:c r="G10" s="8" t="d">
        <x:v>2026-06-26T00:00:00.000Z</x:v>
      </x:c>
      <x:c r="H10" s="8" t="d">
        <x:v>2026-11-18T00:00:00.000Z</x:v>
      </x:c>
      <x:c r="I10" s="8" t="d">
        <x:v>2026-08-15T00:00:00.000Z</x:v>
      </x:c>
      <x:c r="J10" s="7" t="n">
        <x:v>0</x:v>
      </x:c>
      <x:c r="K10" s="1" t="n">
        <x:v>0</x:v>
      </x:c>
      <x:c r="L10" s="1" t="n">
        <x:v>0</x:v>
      </x:c>
      <x:c r="M10" s="1" t="n">
        <x:v>46</x:v>
      </x:c>
      <x:c r="N10" s="1"/>
      <x:c r="O10" s="1"/>
      <x:c r="P10" s="1"/>
      <x:c r="Q10" s="1"/>
    </x:row>
    <x:row r="11" ht="22" customHeight="1">
      <x:c r="A11" s="1" t="str">
        <x:v>O0006</x:v>
      </x:c>
      <x:c r="B11" s="1" t="str">
        <x:v>Simulated Ahmedabad Engineering College 006</x:v>
      </x:c>
      <x:c r="C11" s="1" t="str">
        <x:v>West</x:v>
      </x:c>
      <x:c r="D11" s="1" t="str">
        <x:v>Qualified</x:v>
      </x:c>
      <x:c r="E11" s="1" t="str">
        <x:v>Open</x:v>
      </x:c>
      <x:c r="F11" s="7" t="n">
        <x:v>197000</x:v>
      </x:c>
      <x:c r="G11" s="8" t="d">
        <x:v>2026-09-09T00:00:00.000Z</x:v>
      </x:c>
      <x:c r="H11" s="8" t="d">
        <x:v>2026-12-29T00:00:00.000Z</x:v>
      </x:c>
      <x:c r="I11" s="8"/>
      <x:c r="J11" s="7" t="n">
        <x:v>0</x:v>
      </x:c>
      <x:c r="K11" s="1" t="n">
        <x:v>51.42</x:v>
      </x:c>
      <x:c r="L11" s="1" t="n">
        <x:v>0</x:v>
      </x:c>
      <x:c r="M11" s="1" t="n">
        <x:v>11</x:v>
      </x:c>
      <x:c r="N11" s="1"/>
      <x:c r="O11" s="1"/>
      <x:c r="P11" s="1"/>
      <x:c r="Q11" s="1"/>
    </x:row>
    <x:row r="12" ht="22" customHeight="1">
      <x:c r="A12" s="1" t="str">
        <x:v>O0007</x:v>
      </x:c>
      <x:c r="B12" s="1" t="str">
        <x:v>Simulated Jaipur Arts and Science College 007</x:v>
      </x:c>
      <x:c r="C12" s="1" t="str">
        <x:v>West</x:v>
      </x:c>
      <x:c r="D12" s="1" t="str">
        <x:v>Proposal Sent</x:v>
      </x:c>
      <x:c r="E12" s="1" t="str">
        <x:v>Open</x:v>
      </x:c>
      <x:c r="F12" s="7" t="n">
        <x:v>104000</x:v>
      </x:c>
      <x:c r="G12" s="8" t="d">
        <x:v>2026-06-22T00:00:00.000Z</x:v>
      </x:c>
      <x:c r="H12" s="8" t="d">
        <x:v>2026-10-15T00:00:00.000Z</x:v>
      </x:c>
      <x:c r="I12" s="8"/>
      <x:c r="J12" s="7" t="n">
        <x:v>0</x:v>
      </x:c>
      <x:c r="K12" s="1" t="n">
        <x:v>47.36</x:v>
      </x:c>
      <x:c r="L12" s="1" t="n">
        <x:v>1</x:v>
      </x:c>
      <x:c r="M12" s="1" t="n">
        <x:v>20</x:v>
      </x:c>
      <x:c r="N12" s="1"/>
      <x:c r="O12" s="1"/>
      <x:c r="P12" s="1"/>
      <x:c r="Q12" s="1"/>
    </x:row>
    <x:row r="13" ht="22" customHeight="1">
      <x:c r="A13" s="1" t="str">
        <x:v>O0008</x:v>
      </x:c>
      <x:c r="B13" s="1" t="str">
        <x:v>Simulated Bengaluru Arts and Science College 008</x:v>
      </x:c>
      <x:c r="C13" s="1" t="str">
        <x:v>South</x:v>
      </x:c>
      <x:c r="D13" s="1" t="str">
        <x:v>Closed Lost</x:v>
      </x:c>
      <x:c r="E13" s="1" t="str">
        <x:v>Lost</x:v>
      </x:c>
      <x:c r="F13" s="7" t="n">
        <x:v>109000</x:v>
      </x:c>
      <x:c r="G13" s="8" t="d">
        <x:v>2026-01-18T00:00:00.000Z</x:v>
      </x:c>
      <x:c r="H13" s="8" t="d">
        <x:v>2026-04-10T00:00:00.000Z</x:v>
      </x:c>
      <x:c r="I13" s="8" t="d">
        <x:v>2026-03-13T00:00:00.000Z</x:v>
      </x:c>
      <x:c r="J13" s="7" t="n">
        <x:v>0</x:v>
      </x:c>
      <x:c r="K13" s="1" t="n">
        <x:v>0</x:v>
      </x:c>
      <x:c r="L13" s="1" t="n">
        <x:v>0</x:v>
      </x:c>
      <x:c r="M13" s="1" t="n">
        <x:v>201</x:v>
      </x:c>
      <x:c r="N13" s="1"/>
      <x:c r="O13" s="1"/>
      <x:c r="P13" s="1"/>
      <x:c r="Q13" s="1"/>
    </x:row>
    <x:row r="14" ht="22" customHeight="1">
      <x:c r="A14" s="1" t="str">
        <x:v>O0009</x:v>
      </x:c>
      <x:c r="B14" s="1" t="str">
        <x:v>Simulated Chennai Management Institute 009</x:v>
      </x:c>
      <x:c r="C14" s="1" t="str">
        <x:v>South</x:v>
      </x:c>
      <x:c r="D14" s="1" t="str">
        <x:v>Closed Lost</x:v>
      </x:c>
      <x:c r="E14" s="1" t="str">
        <x:v>Lost</x:v>
      </x:c>
      <x:c r="F14" s="7" t="n">
        <x:v>176000</x:v>
      </x:c>
      <x:c r="G14" s="8" t="d">
        <x:v>2026-02-23T00:00:00.000Z</x:v>
      </x:c>
      <x:c r="H14" s="8" t="d">
        <x:v>2026-06-02T00:00:00.000Z</x:v>
      </x:c>
      <x:c r="I14" s="8" t="d">
        <x:v>2026-03-30T00:00:00.000Z</x:v>
      </x:c>
      <x:c r="J14" s="7" t="n">
        <x:v>0</x:v>
      </x:c>
      <x:c r="K14" s="1" t="n">
        <x:v>0</x:v>
      </x:c>
      <x:c r="L14" s="1" t="n">
        <x:v>0</x:v>
      </x:c>
      <x:c r="M14" s="1" t="n">
        <x:v>184</x:v>
      </x:c>
      <x:c r="N14" s="1"/>
      <x:c r="O14" s="1"/>
      <x:c r="P14" s="1"/>
      <x:c r="Q14" s="1"/>
    </x:row>
    <x:row r="15" ht="22" customHeight="1">
      <x:c r="A15" s="1" t="str">
        <x:v>O0010</x:v>
      </x:c>
      <x:c r="B15" s="1" t="str">
        <x:v>Simulated Hyderabad Management Institute 010</x:v>
      </x:c>
      <x:c r="C15" s="1" t="str">
        <x:v>South</x:v>
      </x:c>
      <x:c r="D15" s="1" t="str">
        <x:v>Closed Won</x:v>
      </x:c>
      <x:c r="E15" s="1" t="str">
        <x:v>Won</x:v>
      </x:c>
      <x:c r="F15" s="7" t="n">
        <x:v>101000</x:v>
      </x:c>
      <x:c r="G15" s="8" t="d">
        <x:v>2025-12-04T00:00:00.000Z</x:v>
      </x:c>
      <x:c r="H15" s="8" t="d">
        <x:v>2026-02-27T00:00:00.000Z</x:v>
      </x:c>
      <x:c r="I15" s="8" t="d">
        <x:v>2026-05-27T00:00:00.000Z</x:v>
      </x:c>
      <x:c r="J15" s="7" t="n">
        <x:v>35142.47</x:v>
      </x:c>
      <x:c r="K15" s="1" t="n">
        <x:v>0</x:v>
      </x:c>
      <x:c r="L15" s="1" t="n">
        <x:v>0</x:v>
      </x:c>
      <x:c r="M15" s="1" t="n">
        <x:v>126</x:v>
      </x:c>
      <x:c r="N15" s="1"/>
      <x:c r="O15" s="1"/>
      <x:c r="P15" s="1"/>
      <x:c r="Q15" s="1"/>
    </x:row>
    <x:row r="16" ht="22" customHeight="1">
      <x:c r="A16" s="1" t="str">
        <x:v>O0011</x:v>
      </x:c>
      <x:c r="B16" s="1" t="str">
        <x:v>Simulated Kolkata Arts and Science College 011</x:v>
      </x:c>
      <x:c r="C16" s="1" t="str">
        <x:v>East</x:v>
      </x:c>
      <x:c r="D16" s="1" t="str">
        <x:v>Initial Contact</x:v>
      </x:c>
      <x:c r="E16" s="1" t="str">
        <x:v>Open</x:v>
      </x:c>
      <x:c r="F16" s="7" t="n">
        <x:v>299000</x:v>
      </x:c>
      <x:c r="G16" s="8" t="d">
        <x:v>2026-09-07T00:00:00.000Z</x:v>
      </x:c>
      <x:c r="H16" s="8" t="d">
        <x:v>2027-01-27T00:00:00.000Z</x:v>
      </x:c>
      <x:c r="I16" s="8"/>
      <x:c r="J16" s="7" t="n">
        <x:v>0</x:v>
      </x:c>
      <x:c r="K16" s="1" t="n">
        <x:v>43.03</x:v>
      </x:c>
      <x:c r="L16" s="1" t="n">
        <x:v>0</x:v>
      </x:c>
      <x:c r="M16" s="1" t="n">
        <x:v>6</x:v>
      </x:c>
      <x:c r="N16" s="1"/>
      <x:c r="O16" s="1"/>
      <x:c r="P16" s="1"/>
      <x:c r="Q16" s="1"/>
    </x:row>
    <x:row r="17" ht="22" customHeight="1">
      <x:c r="A17" s="1" t="str">
        <x:v>O0012</x:v>
      </x:c>
      <x:c r="B17" s="1" t="str">
        <x:v>Simulated Bhubaneswar Management Institute 012</x:v>
      </x:c>
      <x:c r="C17" s="1" t="str">
        <x:v>East</x:v>
      </x:c>
      <x:c r="D17" s="1" t="str">
        <x:v>Initial Contact</x:v>
      </x:c>
      <x:c r="E17" s="1" t="str">
        <x:v>Open</x:v>
      </x:c>
      <x:c r="F17" s="7" t="n">
        <x:v>350000</x:v>
      </x:c>
      <x:c r="G17" s="8" t="d">
        <x:v>2026-05-27T00:00:00.000Z</x:v>
      </x:c>
      <x:c r="H17" s="8" t="d">
        <x:v>2026-08-19T00:00:00.000Z</x:v>
      </x:c>
      <x:c r="I17" s="8"/>
      <x:c r="J17" s="7" t="n">
        <x:v>0</x:v>
      </x:c>
      <x:c r="K17" s="1" t="n">
        <x:v>45.41</x:v>
      </x:c>
      <x:c r="L17" s="1" t="n">
        <x:v>1</x:v>
      </x:c>
      <x:c r="M17" s="1" t="n">
        <x:v>100</x:v>
      </x:c>
      <x:c r="N17" s="1"/>
      <x:c r="O17" s="1"/>
      <x:c r="P17" s="1"/>
      <x:c r="Q17" s="1"/>
    </x:row>
    <x:row r="18" ht="22" customHeight="1">
      <x:c r="A18" s="1" t="str">
        <x:v>O0013</x:v>
      </x:c>
      <x:c r="B18" s="1" t="str">
        <x:v>Simulated Patna University 013</x:v>
      </x:c>
      <x:c r="C18" s="1" t="str">
        <x:v>East</x:v>
      </x:c>
      <x:c r="D18" s="1" t="str">
        <x:v>Qualified</x:v>
      </x:c>
      <x:c r="E18" s="1" t="str">
        <x:v>Open</x:v>
      </x:c>
      <x:c r="F18" s="7" t="n">
        <x:v>1074000</x:v>
      </x:c>
      <x:c r="G18" s="8" t="d">
        <x:v>2026-04-11T00:00:00.000Z</x:v>
      </x:c>
      <x:c r="H18" s="8" t="d">
        <x:v>2026-07-28T00:00:00.000Z</x:v>
      </x:c>
      <x:c r="I18" s="8"/>
      <x:c r="J18" s="7" t="n">
        <x:v>0</x:v>
      </x:c>
      <x:c r="K18" s="1" t="n">
        <x:v>72.4</x:v>
      </x:c>
      <x:c r="L18" s="1" t="n">
        <x:v>1</x:v>
      </x:c>
      <x:c r="M18" s="1" t="n">
        <x:v>154</x:v>
      </x:c>
      <x:c r="N18" s="1"/>
      <x:c r="O18" s="1"/>
      <x:c r="P18" s="1"/>
      <x:c r="Q18" s="1"/>
    </x:row>
    <x:row r="19" ht="22" customHeight="1">
      <x:c r="A19" s="1" t="str">
        <x:v>O0014</x:v>
      </x:c>
      <x:c r="B19" s="1" t="str">
        <x:v>Simulated Guwahati University 014</x:v>
      </x:c>
      <x:c r="C19" s="1" t="str">
        <x:v>Northeast</x:v>
      </x:c>
      <x:c r="D19" s="1" t="str">
        <x:v>Qualified</x:v>
      </x:c>
      <x:c r="E19" s="1" t="str">
        <x:v>Open</x:v>
      </x:c>
      <x:c r="F19" s="7" t="n">
        <x:v>1109000</x:v>
      </x:c>
      <x:c r="G19" s="8" t="d">
        <x:v>2026-03-24T00:00:00.000Z</x:v>
      </x:c>
      <x:c r="H19" s="8" t="d">
        <x:v>2026-07-16T00:00:00.000Z</x:v>
      </x:c>
      <x:c r="I19" s="8"/>
      <x:c r="J19" s="7" t="n">
        <x:v>0</x:v>
      </x:c>
      <x:c r="K19" s="1" t="n">
        <x:v>71.69</x:v>
      </x:c>
      <x:c r="L19" s="1" t="n">
        <x:v>1</x:v>
      </x:c>
      <x:c r="M19" s="1" t="n">
        <x:v>170</x:v>
      </x:c>
      <x:c r="N19" s="1"/>
      <x:c r="O19" s="1"/>
      <x:c r="P19" s="1"/>
      <x:c r="Q19" s="1"/>
    </x:row>
    <x:row r="20" ht="22" customHeight="1">
      <x:c r="A20" s="1" t="str">
        <x:v>O0015</x:v>
      </x:c>
      <x:c r="B20" s="1" t="str">
        <x:v>Simulated Indore Engineering College 015</x:v>
      </x:c>
      <x:c r="C20" s="1" t="str">
        <x:v>Central</x:v>
      </x:c>
      <x:c r="D20" s="1" t="str">
        <x:v>Closed Lost</x:v>
      </x:c>
      <x:c r="E20" s="1" t="str">
        <x:v>Lost</x:v>
      </x:c>
      <x:c r="F20" s="7" t="n">
        <x:v>159000</x:v>
      </x:c>
      <x:c r="G20" s="8" t="d">
        <x:v>2026-05-13T00:00:00.000Z</x:v>
      </x:c>
      <x:c r="H20" s="8" t="d">
        <x:v>2026-08-08T00:00:00.000Z</x:v>
      </x:c>
      <x:c r="I20" s="8" t="d">
        <x:v>2026-06-21T00:00:00.000Z</x:v>
      </x:c>
      <x:c r="J20" s="7" t="n">
        <x:v>0</x:v>
      </x:c>
      <x:c r="K20" s="1" t="n">
        <x:v>0</x:v>
      </x:c>
      <x:c r="L20" s="1" t="n">
        <x:v>0</x:v>
      </x:c>
      <x:c r="M20" s="1" t="n">
        <x:v>101</x:v>
      </x:c>
      <x:c r="N20" s="1"/>
      <x:c r="O20" s="1"/>
      <x:c r="P20" s="1"/>
      <x:c r="Q20" s="1"/>
    </x:row>
    <x:row r="21" ht="22" customHeight="1">
      <x:c r="A21" s="1" t="str">
        <x:v>O0016</x:v>
      </x:c>
      <x:c r="B21" s="1" t="str">
        <x:v>Simulated New Delhi University 016</x:v>
      </x:c>
      <x:c r="C21" s="1" t="str">
        <x:v>North</x:v>
      </x:c>
      <x:c r="D21" s="1" t="str">
        <x:v>Closed Lost</x:v>
      </x:c>
      <x:c r="E21" s="1" t="str">
        <x:v>Lost</x:v>
      </x:c>
      <x:c r="F21" s="7" t="n">
        <x:v>339000</x:v>
      </x:c>
      <x:c r="G21" s="8" t="d">
        <x:v>2026-08-17T00:00:00.000Z</x:v>
      </x:c>
      <x:c r="H21" s="8" t="d">
        <x:v>2026-12-09T00:00:00.000Z</x:v>
      </x:c>
      <x:c r="I21" s="8" t="d">
        <x:v>2026-09-10T00:00:00.000Z</x:v>
      </x:c>
      <x:c r="J21" s="7" t="n">
        <x:v>0</x:v>
      </x:c>
      <x:c r="K21" s="1" t="n">
        <x:v>0</x:v>
      </x:c>
      <x:c r="L21" s="1" t="n">
        <x:v>0</x:v>
      </x:c>
      <x:c r="M21" s="1" t="n">
        <x:v>20</x:v>
      </x:c>
      <x:c r="N21" s="1"/>
      <x:c r="O21" s="1"/>
      <x:c r="P21" s="1"/>
      <x:c r="Q21" s="1"/>
    </x:row>
    <x:row r="22" ht="22" customHeight="1">
      <x:c r="A22" s="1" t="str">
        <x:v>O0017</x:v>
      </x:c>
      <x:c r="B22" s="1" t="str">
        <x:v>Simulated Noida Engineering College 017</x:v>
      </x:c>
      <x:c r="C22" s="1" t="str">
        <x:v>North</x:v>
      </x:c>
      <x:c r="D22" s="1" t="str">
        <x:v>Closed Won</x:v>
      </x:c>
      <x:c r="E22" s="1" t="str">
        <x:v>Won</x:v>
      </x:c>
      <x:c r="F22" s="7" t="n">
        <x:v>102000</x:v>
      </x:c>
      <x:c r="G22" s="8" t="d">
        <x:v>2026-03-04T00:00:00.000Z</x:v>
      </x:c>
      <x:c r="H22" s="8" t="d">
        <x:v>2026-07-08T00:00:00.000Z</x:v>
      </x:c>
      <x:c r="I22" s="8" t="d">
        <x:v>2026-08-15T00:00:00.000Z</x:v>
      </x:c>
      <x:c r="J22" s="7" t="n">
        <x:v>13134.25</x:v>
      </x:c>
      <x:c r="K22" s="1" t="n">
        <x:v>0</x:v>
      </x:c>
      <x:c r="L22" s="1" t="n">
        <x:v>0</x:v>
      </x:c>
      <x:c r="M22" s="1" t="n">
        <x:v>46</x:v>
      </x:c>
      <x:c r="N22" s="1"/>
      <x:c r="O22" s="1"/>
      <x:c r="P22" s="1"/>
      <x:c r="Q22" s="1"/>
    </x:row>
    <x:row r="23" ht="22" customHeight="1">
      <x:c r="A23" s="1" t="str">
        <x:v>O0018</x:v>
      </x:c>
      <x:c r="B23" s="1" t="str">
        <x:v>Simulated Gurugram University 018</x:v>
      </x:c>
      <x:c r="C23" s="1" t="str">
        <x:v>North</x:v>
      </x:c>
      <x:c r="D23" s="1" t="str">
        <x:v>Prospect Identified</x:v>
      </x:c>
      <x:c r="E23" s="1" t="str">
        <x:v>Open</x:v>
      </x:c>
      <x:c r="F23" s="7" t="n">
        <x:v>152000</x:v>
      </x:c>
      <x:c r="G23" s="8" t="d">
        <x:v>2026-01-30T00:00:00.000Z</x:v>
      </x:c>
      <x:c r="H23" s="8" t="d">
        <x:v>2026-05-07T00:00:00.000Z</x:v>
      </x:c>
      <x:c r="I23" s="8"/>
      <x:c r="J23" s="7" t="n">
        <x:v>0</x:v>
      </x:c>
      <x:c r="K23" s="1" t="n">
        <x:v>45.91</x:v>
      </x:c>
      <x:c r="L23" s="1" t="n">
        <x:v>0</x:v>
      </x:c>
      <x:c r="M23" s="1" t="n">
        <x:v>243</x:v>
      </x:c>
      <x:c r="N23" s="1"/>
      <x:c r="O23" s="1"/>
      <x:c r="P23" s="1"/>
      <x:c r="Q23" s="1"/>
    </x:row>
    <x:row r="24" ht="22" customHeight="1">
      <x:c r="A24" s="1" t="str">
        <x:v>O0019</x:v>
      </x:c>
      <x:c r="B24" s="1" t="str">
        <x:v>Simulated Ludhiana Engineering College 019</x:v>
      </x:c>
      <x:c r="C24" s="1" t="str">
        <x:v>North</x:v>
      </x:c>
      <x:c r="D24" s="1" t="str">
        <x:v>Qualified</x:v>
      </x:c>
      <x:c r="E24" s="1" t="str">
        <x:v>Open</x:v>
      </x:c>
      <x:c r="F24" s="7" t="n">
        <x:v>113000</x:v>
      </x:c>
      <x:c r="G24" s="8" t="d">
        <x:v>2026-02-07T00:00:00.000Z</x:v>
      </x:c>
      <x:c r="H24" s="8" t="d">
        <x:v>2026-06-23T00:00:00.000Z</x:v>
      </x:c>
      <x:c r="I24" s="8"/>
      <x:c r="J24" s="7" t="n">
        <x:v>0</x:v>
      </x:c>
      <x:c r="K24" s="1" t="n">
        <x:v>26.99</x:v>
      </x:c>
      <x:c r="L24" s="1" t="n">
        <x:v>1</x:v>
      </x:c>
      <x:c r="M24" s="1" t="n">
        <x:v>217</x:v>
      </x:c>
      <x:c r="N24" s="1"/>
      <x:c r="O24" s="1"/>
      <x:c r="P24" s="1"/>
      <x:c r="Q24" s="1"/>
    </x:row>
    <x:row r="25" ht="22" customHeight="1">
      <x:c r="A25" s="1" t="str">
        <x:v>O0020</x:v>
      </x:c>
      <x:c r="B25" s="1" t="str">
        <x:v>Simulated Pune Arts and Science College 020</x:v>
      </x:c>
      <x:c r="C25" s="1" t="str">
        <x:v>West</x:v>
      </x:c>
      <x:c r="D25" s="1" t="str">
        <x:v>Closed Lost</x:v>
      </x:c>
      <x:c r="E25" s="1" t="str">
        <x:v>Lost</x:v>
      </x:c>
      <x:c r="F25" s="7" t="n">
        <x:v>119000</x:v>
      </x:c>
      <x:c r="G25" s="8" t="d">
        <x:v>2025-11-25T00:00:00.000Z</x:v>
      </x:c>
      <x:c r="H25" s="8" t="d">
        <x:v>2026-03-17T00:00:00.000Z</x:v>
      </x:c>
      <x:c r="I25" s="8" t="d">
        <x:v>2025-12-20T00:00:00.000Z</x:v>
      </x:c>
      <x:c r="J25" s="7" t="n">
        <x:v>0</x:v>
      </x:c>
      <x:c r="K25" s="1" t="n">
        <x:v>0</x:v>
      </x:c>
      <x:c r="L25" s="1" t="n">
        <x:v>0</x:v>
      </x:c>
      <x:c r="M25" s="1" t="n">
        <x:v>284</x:v>
      </x:c>
      <x:c r="N25" s="1"/>
      <x:c r="O25" s="1"/>
      <x:c r="P25" s="1"/>
      <x:c r="Q25" s="1"/>
    </x:row>
    <x:row r="26" ht="22" customHeight="1">
      <x:c r="A26" s="1" t="str">
        <x:v>O0021</x:v>
      </x:c>
      <x:c r="B26" s="1" t="str">
        <x:v>Simulated Ahmedabad Engineering College 021</x:v>
      </x:c>
      <x:c r="C26" s="1" t="str">
        <x:v>West</x:v>
      </x:c>
      <x:c r="D26" s="1" t="str">
        <x:v>Closed Won</x:v>
      </x:c>
      <x:c r="E26" s="1" t="str">
        <x:v>Won</x:v>
      </x:c>
      <x:c r="F26" s="7" t="n">
        <x:v>313000</x:v>
      </x:c>
      <x:c r="G26" s="8" t="d">
        <x:v>2025-10-22T00:00:00.000Z</x:v>
      </x:c>
      <x:c r="H26" s="8" t="d">
        <x:v>2026-03-15T00:00:00.000Z</x:v>
      </x:c>
      <x:c r="I26" s="8" t="d">
        <x:v>2026-01-27T00:00:00.000Z</x:v>
      </x:c>
      <x:c r="J26" s="7" t="n">
        <x:v>211810.96</x:v>
      </x:c>
      <x:c r="K26" s="1" t="n">
        <x:v>0</x:v>
      </x:c>
      <x:c r="L26" s="1" t="n">
        <x:v>0</x:v>
      </x:c>
      <x:c r="M26" s="1" t="n">
        <x:v>246</x:v>
      </x:c>
      <x:c r="N26" s="1"/>
      <x:c r="O26" s="1"/>
      <x:c r="P26" s="1"/>
      <x:c r="Q26" s="1"/>
    </x:row>
    <x:row r="27" ht="22" customHeight="1">
      <x:c r="A27" s="1" t="str">
        <x:v>O0022</x:v>
      </x:c>
      <x:c r="B27" s="1" t="str">
        <x:v>Simulated Jaipur University 022</x:v>
      </x:c>
      <x:c r="C27" s="1" t="str">
        <x:v>West</x:v>
      </x:c>
      <x:c r="D27" s="1" t="str">
        <x:v>Closed Lost</x:v>
      </x:c>
      <x:c r="E27" s="1" t="str">
        <x:v>Lost</x:v>
      </x:c>
      <x:c r="F27" s="7" t="n">
        <x:v>703000</x:v>
      </x:c>
      <x:c r="G27" s="8" t="d">
        <x:v>2026-02-23T00:00:00.000Z</x:v>
      </x:c>
      <x:c r="H27" s="8" t="d">
        <x:v>2026-06-30T00:00:00.000Z</x:v>
      </x:c>
      <x:c r="I27" s="8" t="d">
        <x:v>2026-05-11T00:00:00.000Z</x:v>
      </x:c>
      <x:c r="J27" s="7" t="n">
        <x:v>0</x:v>
      </x:c>
      <x:c r="K27" s="1" t="n">
        <x:v>0</x:v>
      </x:c>
      <x:c r="L27" s="1" t="n">
        <x:v>0</x:v>
      </x:c>
      <x:c r="M27" s="1" t="n">
        <x:v>142</x:v>
      </x:c>
      <x:c r="N27" s="1"/>
      <x:c r="O27" s="1"/>
      <x:c r="P27" s="1"/>
      <x:c r="Q27" s="1"/>
    </x:row>
    <x:row r="28" ht="22" customHeight="1">
      <x:c r="A28" s="1" t="str">
        <x:v>O0023</x:v>
      </x:c>
      <x:c r="B28" s="1" t="str">
        <x:v>Simulated Bengaluru University 023</x:v>
      </x:c>
      <x:c r="C28" s="1" t="str">
        <x:v>South</x:v>
      </x:c>
      <x:c r="D28" s="1" t="str">
        <x:v>Prospect Identified</x:v>
      </x:c>
      <x:c r="E28" s="1" t="str">
        <x:v>Open</x:v>
      </x:c>
      <x:c r="F28" s="7" t="n">
        <x:v>794000</x:v>
      </x:c>
      <x:c r="G28" s="8" t="d">
        <x:v>2025-11-06T00:00:00.000Z</x:v>
      </x:c>
      <x:c r="H28" s="8" t="d">
        <x:v>2026-02-07T00:00:00.000Z</x:v>
      </x:c>
      <x:c r="I28" s="8"/>
      <x:c r="J28" s="7" t="n">
        <x:v>0</x:v>
      </x:c>
      <x:c r="K28" s="1" t="n">
        <x:v>55.73</x:v>
      </x:c>
      <x:c r="L28" s="1" t="n">
        <x:v>1</x:v>
      </x:c>
      <x:c r="M28" s="1" t="n">
        <x:v>328</x:v>
      </x:c>
      <x:c r="N28" s="1"/>
      <x:c r="O28" s="1"/>
      <x:c r="P28" s="1"/>
      <x:c r="Q28" s="1"/>
    </x:row>
    <x:row r="29" ht="22" customHeight="1">
      <x:c r="A29" s="1" t="str">
        <x:v>O0024</x:v>
      </x:c>
      <x:c r="B29" s="1" t="str">
        <x:v>Simulated Chennai University 024</x:v>
      </x:c>
      <x:c r="C29" s="1" t="str">
        <x:v>South</x:v>
      </x:c>
      <x:c r="D29" s="1" t="str">
        <x:v>Prospect Identified</x:v>
      </x:c>
      <x:c r="E29" s="1" t="str">
        <x:v>Open</x:v>
      </x:c>
      <x:c r="F29" s="7" t="n">
        <x:v>914000</x:v>
      </x:c>
      <x:c r="G29" s="8" t="d">
        <x:v>2025-10-29T00:00:00.000Z</x:v>
      </x:c>
      <x:c r="H29" s="8" t="d">
        <x:v>2026-01-19T00:00:00.000Z</x:v>
      </x:c>
      <x:c r="I29" s="8"/>
      <x:c r="J29" s="7" t="n">
        <x:v>0</x:v>
      </x:c>
      <x:c r="K29" s="1" t="n">
        <x:v>61.61</x:v>
      </x:c>
      <x:c r="L29" s="1" t="n">
        <x:v>1</x:v>
      </x:c>
      <x:c r="M29" s="1" t="n">
        <x:v>336</x:v>
      </x:c>
      <x:c r="N29" s="1"/>
      <x:c r="O29" s="1"/>
      <x:c r="P29" s="1"/>
      <x:c r="Q29" s="1"/>
    </x:row>
    <x:row r="30" ht="22" customHeight="1">
      <x:c r="A30" s="1" t="str">
        <x:v>O0025</x:v>
      </x:c>
      <x:c r="B30" s="1" t="str">
        <x:v>Simulated Hyderabad Engineering College 025</x:v>
      </x:c>
      <x:c r="C30" s="1" t="str">
        <x:v>South</x:v>
      </x:c>
      <x:c r="D30" s="1" t="str">
        <x:v>Qualified</x:v>
      </x:c>
      <x:c r="E30" s="1" t="str">
        <x:v>Open</x:v>
      </x:c>
      <x:c r="F30" s="7" t="n">
        <x:v>349000</x:v>
      </x:c>
      <x:c r="G30" s="8" t="d">
        <x:v>2026-01-25T00:00:00.000Z</x:v>
      </x:c>
      <x:c r="H30" s="8" t="d">
        <x:v>2026-05-05T00:00:00.000Z</x:v>
      </x:c>
      <x:c r="I30" s="8"/>
      <x:c r="J30" s="7" t="n">
        <x:v>0</x:v>
      </x:c>
      <x:c r="K30" s="1" t="n">
        <x:v>52.05</x:v>
      </x:c>
      <x:c r="L30" s="1" t="n">
        <x:v>1</x:v>
      </x:c>
      <x:c r="M30" s="1" t="n">
        <x:v>227</x:v>
      </x:c>
      <x:c r="N30" s="1"/>
      <x:c r="O30" s="1"/>
      <x:c r="P30" s="1"/>
      <x:c r="Q30" s="1"/>
    </x:row>
    <x:row r="31" ht="22" customHeight="1">
      <x:c r="A31" s="1" t="str">
        <x:v>O0026</x:v>
      </x:c>
      <x:c r="B31" s="1" t="str">
        <x:v>Simulated Kolkata Arts and Science College 026</x:v>
      </x:c>
      <x:c r="C31" s="1" t="str">
        <x:v>East</x:v>
      </x:c>
      <x:c r="D31" s="1" t="str">
        <x:v>Closed Lost</x:v>
      </x:c>
      <x:c r="E31" s="1" t="str">
        <x:v>Lost</x:v>
      </x:c>
      <x:c r="F31" s="7" t="n">
        <x:v>384000</x:v>
      </x:c>
      <x:c r="G31" s="8" t="d">
        <x:v>2026-07-28T00:00:00.000Z</x:v>
      </x:c>
      <x:c r="H31" s="8" t="d">
        <x:v>2026-10-19T00:00:00.000Z</x:v>
      </x:c>
      <x:c r="I31" s="8" t="d">
        <x:v>2026-09-02T00:00:00.000Z</x:v>
      </x:c>
      <x:c r="J31" s="7" t="n">
        <x:v>0</x:v>
      </x:c>
      <x:c r="K31" s="1" t="n">
        <x:v>0</x:v>
      </x:c>
      <x:c r="L31" s="1" t="n">
        <x:v>0</x:v>
      </x:c>
      <x:c r="M31" s="1" t="n">
        <x:v>28</x:v>
      </x:c>
      <x:c r="N31" s="1"/>
      <x:c r="O31" s="1"/>
      <x:c r="P31" s="1"/>
      <x:c r="Q31" s="1"/>
    </x:row>
    <x:row r="32" ht="22" customHeight="1">
      <x:c r="A32" s="1" t="str">
        <x:v>O0027</x:v>
      </x:c>
      <x:c r="B32" s="1" t="str">
        <x:v>Simulated Bhubaneswar University 027</x:v>
      </x:c>
      <x:c r="C32" s="1" t="str">
        <x:v>East</x:v>
      </x:c>
      <x:c r="D32" s="1" t="str">
        <x:v>Qualified</x:v>
      </x:c>
      <x:c r="E32" s="1" t="str">
        <x:v>Open</x:v>
      </x:c>
      <x:c r="F32" s="7" t="n">
        <x:v>488000</x:v>
      </x:c>
      <x:c r="G32" s="8" t="d">
        <x:v>2026-03-29T00:00:00.000Z</x:v>
      </x:c>
      <x:c r="H32" s="8" t="d">
        <x:v>2026-07-28T00:00:00.000Z</x:v>
      </x:c>
      <x:c r="I32" s="8"/>
      <x:c r="J32" s="7" t="n">
        <x:v>0</x:v>
      </x:c>
      <x:c r="K32" s="1" t="n">
        <x:v>47.48</x:v>
      </x:c>
      <x:c r="L32" s="1" t="n">
        <x:v>1</x:v>
      </x:c>
      <x:c r="M32" s="1" t="n">
        <x:v>178</x:v>
      </x:c>
      <x:c r="N32" s="1"/>
      <x:c r="O32" s="1"/>
      <x:c r="P32" s="1"/>
      <x:c r="Q32" s="1"/>
    </x:row>
    <x:row r="33" ht="22" customHeight="1">
      <x:c r="A33" s="1" t="str">
        <x:v>O0028</x:v>
      </x:c>
      <x:c r="B33" s="1" t="str">
        <x:v>Simulated Patna Engineering College 028</x:v>
      </x:c>
      <x:c r="C33" s="1" t="str">
        <x:v>East</x:v>
      </x:c>
      <x:c r="D33" s="1" t="str">
        <x:v>Meeting Scheduled</x:v>
      </x:c>
      <x:c r="E33" s="1" t="str">
        <x:v>Open</x:v>
      </x:c>
      <x:c r="F33" s="7" t="n">
        <x:v>128000</x:v>
      </x:c>
      <x:c r="G33" s="8" t="d">
        <x:v>2026-06-14T00:00:00.000Z</x:v>
      </x:c>
      <x:c r="H33" s="8" t="d">
        <x:v>2026-10-28T00:00:00.000Z</x:v>
      </x:c>
      <x:c r="I33" s="8"/>
      <x:c r="J33" s="7" t="n">
        <x:v>0</x:v>
      </x:c>
      <x:c r="K33" s="1" t="n">
        <x:v>43.91</x:v>
      </x:c>
      <x:c r="L33" s="1" t="n">
        <x:v>1</x:v>
      </x:c>
      <x:c r="M33" s="1" t="n">
        <x:v>76</x:v>
      </x:c>
      <x:c r="N33" s="1"/>
      <x:c r="O33" s="1"/>
      <x:c r="P33" s="1"/>
      <x:c r="Q33" s="1"/>
    </x:row>
    <x:row r="34" ht="22" customHeight="1">
      <x:c r="A34" s="1" t="str">
        <x:v>O0029</x:v>
      </x:c>
      <x:c r="B34" s="1" t="str">
        <x:v>Simulated Guwahati Engineering College 029</x:v>
      </x:c>
      <x:c r="C34" s="1" t="str">
        <x:v>Northeast</x:v>
      </x:c>
      <x:c r="D34" s="1" t="str">
        <x:v>Qualified</x:v>
      </x:c>
      <x:c r="E34" s="1" t="str">
        <x:v>Open</x:v>
      </x:c>
      <x:c r="F34" s="7" t="n">
        <x:v>168000</x:v>
      </x:c>
      <x:c r="G34" s="8" t="d">
        <x:v>2026-06-22T00:00:00.000Z</x:v>
      </x:c>
      <x:c r="H34" s="8" t="d">
        <x:v>2026-10-27T00:00:00.000Z</x:v>
      </x:c>
      <x:c r="I34" s="8"/>
      <x:c r="J34" s="7" t="n">
        <x:v>0</x:v>
      </x:c>
      <x:c r="K34" s="1" t="n">
        <x:v>49.42</x:v>
      </x:c>
      <x:c r="L34" s="1" t="n">
        <x:v>0</x:v>
      </x:c>
      <x:c r="M34" s="1" t="n">
        <x:v>79</x:v>
      </x:c>
      <x:c r="N34" s="1"/>
      <x:c r="O34" s="1"/>
      <x:c r="P34" s="1"/>
      <x:c r="Q34" s="1"/>
    </x:row>
    <x:row r="35" ht="22" customHeight="1">
      <x:c r="A35" s="1" t="str">
        <x:v>O0030</x:v>
      </x:c>
      <x:c r="B35" s="1" t="str">
        <x:v>Simulated Indore Management Institute 030</x:v>
      </x:c>
      <x:c r="C35" s="1" t="str">
        <x:v>Central</x:v>
      </x:c>
      <x:c r="D35" s="1" t="str">
        <x:v>Meeting Scheduled</x:v>
      </x:c>
      <x:c r="E35" s="1" t="str">
        <x:v>Open</x:v>
      </x:c>
      <x:c r="F35" s="7" t="n">
        <x:v>121000</x:v>
      </x:c>
      <x:c r="G35" s="8" t="d">
        <x:v>2026-03-24T00:00:00.000Z</x:v>
      </x:c>
      <x:c r="H35" s="8" t="d">
        <x:v>2026-07-05T00:00:00.000Z</x:v>
      </x:c>
      <x:c r="I35" s="8"/>
      <x:c r="J35" s="7" t="n">
        <x:v>0</x:v>
      </x:c>
      <x:c r="K35" s="1" t="n">
        <x:v>45.85</x:v>
      </x:c>
      <x:c r="L35" s="1" t="n">
        <x:v>1</x:v>
      </x:c>
      <x:c r="M35" s="1" t="n">
        <x:v>129</x:v>
      </x:c>
      <x:c r="N35" s="1"/>
      <x:c r="O35" s="1"/>
      <x:c r="P35" s="1"/>
      <x:c r="Q35" s="1"/>
    </x:row>
    <x:row r="36" ht="22" customHeight="1">
      <x:c r="A36" s="1" t="str">
        <x:v>O0031</x:v>
      </x:c>
      <x:c r="B36" s="1" t="str">
        <x:v>Simulated New Delhi Engineering College 031</x:v>
      </x:c>
      <x:c r="C36" s="1" t="str">
        <x:v>North</x:v>
      </x:c>
      <x:c r="D36" s="1" t="str">
        <x:v>Initial Contact</x:v>
      </x:c>
      <x:c r="E36" s="1" t="str">
        <x:v>Open</x:v>
      </x:c>
      <x:c r="F36" s="7" t="n">
        <x:v>267000</x:v>
      </x:c>
      <x:c r="G36" s="8" t="d">
        <x:v>2026-06-28T00:00:00.000Z</x:v>
      </x:c>
      <x:c r="H36" s="8" t="d">
        <x:v>2026-10-30T00:00:00.000Z</x:v>
      </x:c>
      <x:c r="I36" s="8"/>
      <x:c r="J36" s="7" t="n">
        <x:v>0</x:v>
      </x:c>
      <x:c r="K36" s="1" t="n">
        <x:v>47.51</x:v>
      </x:c>
      <x:c r="L36" s="1" t="n">
        <x:v>1</x:v>
      </x:c>
      <x:c r="M36" s="1" t="n">
        <x:v>73</x:v>
      </x:c>
      <x:c r="N36" s="1"/>
      <x:c r="O36" s="1"/>
      <x:c r="P36" s="1"/>
      <x:c r="Q36" s="1"/>
    </x:row>
    <x:row r="37" ht="22" customHeight="1">
      <x:c r="A37" s="1" t="str">
        <x:v>O0032</x:v>
      </x:c>
      <x:c r="B37" s="1" t="str">
        <x:v>Simulated Noida Engineering College 032</x:v>
      </x:c>
      <x:c r="C37" s="1" t="str">
        <x:v>North</x:v>
      </x:c>
      <x:c r="D37" s="1" t="str">
        <x:v>Closed Won</x:v>
      </x:c>
      <x:c r="E37" s="1" t="str">
        <x:v>Won</x:v>
      </x:c>
      <x:c r="F37" s="7" t="n">
        <x:v>119000</x:v>
      </x:c>
      <x:c r="G37" s="8" t="d">
        <x:v>2026-01-08T00:00:00.000Z</x:v>
      </x:c>
      <x:c r="H37" s="8" t="d">
        <x:v>2026-05-27T00:00:00.000Z</x:v>
      </x:c>
      <x:c r="I37" s="8" t="d">
        <x:v>2026-05-04T00:00:00.000Z</x:v>
      </x:c>
      <x:c r="J37" s="7" t="n">
        <x:v>48904.11</x:v>
      </x:c>
      <x:c r="K37" s="1" t="n">
        <x:v>0</x:v>
      </x:c>
      <x:c r="L37" s="1" t="n">
        <x:v>0</x:v>
      </x:c>
      <x:c r="M37" s="1" t="n">
        <x:v>149</x:v>
      </x:c>
      <x:c r="N37" s="1"/>
      <x:c r="O37" s="1"/>
      <x:c r="P37" s="1"/>
      <x:c r="Q37" s="1"/>
    </x:row>
    <x:row r="38" ht="22" customHeight="1">
      <x:c r="A38" s="1" t="str">
        <x:v>O0033</x:v>
      </x:c>
      <x:c r="B38" s="1" t="str">
        <x:v>Simulated Gurugram Management Institute 033</x:v>
      </x:c>
      <x:c r="C38" s="1" t="str">
        <x:v>North</x:v>
      </x:c>
      <x:c r="D38" s="1" t="str">
        <x:v>Closed Lost</x:v>
      </x:c>
      <x:c r="E38" s="1" t="str">
        <x:v>Lost</x:v>
      </x:c>
      <x:c r="F38" s="7" t="n">
        <x:v>202000</x:v>
      </x:c>
      <x:c r="G38" s="8" t="d">
        <x:v>2026-03-06T00:00:00.000Z</x:v>
      </x:c>
      <x:c r="H38" s="8" t="d">
        <x:v>2026-05-30T00:00:00.000Z</x:v>
      </x:c>
      <x:c r="I38" s="8" t="d">
        <x:v>2026-03-13T00:00:00.000Z</x:v>
      </x:c>
      <x:c r="J38" s="7" t="n">
        <x:v>0</x:v>
      </x:c>
      <x:c r="K38" s="1" t="n">
        <x:v>0</x:v>
      </x:c>
      <x:c r="L38" s="1" t="n">
        <x:v>0</x:v>
      </x:c>
      <x:c r="M38" s="1" t="n">
        <x:v>201</x:v>
      </x:c>
      <x:c r="N38" s="1"/>
      <x:c r="O38" s="1"/>
      <x:c r="P38" s="1"/>
      <x:c r="Q38" s="1"/>
    </x:row>
    <x:row r="39" ht="22" customHeight="1">
      <x:c r="A39" s="1" t="str">
        <x:v>O0034</x:v>
      </x:c>
      <x:c r="B39" s="1" t="str">
        <x:v>Simulated Ludhiana Management Institute 034</x:v>
      </x:c>
      <x:c r="C39" s="1" t="str">
        <x:v>North</x:v>
      </x:c>
      <x:c r="D39" s="1" t="str">
        <x:v>Closed Lost</x:v>
      </x:c>
      <x:c r="E39" s="1" t="str">
        <x:v>Lost</x:v>
      </x:c>
      <x:c r="F39" s="7" t="n">
        <x:v>236000</x:v>
      </x:c>
      <x:c r="G39" s="8" t="d">
        <x:v>2025-11-12T00:00:00.000Z</x:v>
      </x:c>
      <x:c r="H39" s="8" t="d">
        <x:v>2026-01-31T00:00:00.000Z</x:v>
      </x:c>
      <x:c r="I39" s="8" t="d">
        <x:v>2025-12-10T00:00:00.000Z</x:v>
      </x:c>
      <x:c r="J39" s="7" t="n">
        <x:v>0</x:v>
      </x:c>
      <x:c r="K39" s="1" t="n">
        <x:v>0</x:v>
      </x:c>
      <x:c r="L39" s="1" t="n">
        <x:v>0</x:v>
      </x:c>
      <x:c r="M39" s="1" t="n">
        <x:v>294</x:v>
      </x:c>
      <x:c r="N39" s="1"/>
      <x:c r="O39" s="1"/>
      <x:c r="P39" s="1"/>
      <x:c r="Q39" s="1"/>
    </x:row>
    <x:row r="40" ht="22" customHeight="1">
      <x:c r="A40" s="1" t="str">
        <x:v>O0035</x:v>
      </x:c>
      <x:c r="B40" s="1" t="str">
        <x:v>Simulated Pune University 035</x:v>
      </x:c>
      <x:c r="C40" s="1" t="str">
        <x:v>West</x:v>
      </x:c>
      <x:c r="D40" s="1" t="str">
        <x:v>Closed Won</x:v>
      </x:c>
      <x:c r="E40" s="1" t="str">
        <x:v>Won</x:v>
      </x:c>
      <x:c r="F40" s="7" t="n">
        <x:v>159000</x:v>
      </x:c>
      <x:c r="G40" s="8" t="d">
        <x:v>2026-03-16T00:00:00.000Z</x:v>
      </x:c>
      <x:c r="H40" s="8" t="d">
        <x:v>2026-08-07T00:00:00.000Z</x:v>
      </x:c>
      <x:c r="I40" s="8" t="d">
        <x:v>2026-07-24T00:00:00.000Z</x:v>
      </x:c>
      <x:c r="J40" s="7" t="n">
        <x:v>30057.53</x:v>
      </x:c>
      <x:c r="K40" s="1" t="n">
        <x:v>0</x:v>
      </x:c>
      <x:c r="L40" s="1" t="n">
        <x:v>0</x:v>
      </x:c>
      <x:c r="M40" s="1" t="n">
        <x:v>68</x:v>
      </x:c>
      <x:c r="N40" s="1"/>
      <x:c r="O40" s="1"/>
      <x:c r="P40" s="1"/>
      <x:c r="Q40" s="1"/>
    </x:row>
    <x:row r="41" ht="22" customHeight="1">
      <x:c r="A41" s="1" t="str">
        <x:v>O0036</x:v>
      </x:c>
      <x:c r="B41" s="1" t="str">
        <x:v>Simulated Ahmedabad University 036</x:v>
      </x:c>
      <x:c r="C41" s="1" t="str">
        <x:v>West</x:v>
      </x:c>
      <x:c r="D41" s="1" t="str">
        <x:v>Proposal Sent</x:v>
      </x:c>
      <x:c r="E41" s="1" t="str">
        <x:v>Open</x:v>
      </x:c>
      <x:c r="F41" s="7" t="n">
        <x:v>831000</x:v>
      </x:c>
      <x:c r="G41" s="8" t="d">
        <x:v>2025-10-25T00:00:00.000Z</x:v>
      </x:c>
      <x:c r="H41" s="8" t="d">
        <x:v>2026-01-30T00:00:00.000Z</x:v>
      </x:c>
      <x:c r="I41" s="8"/>
      <x:c r="J41" s="7" t="n">
        <x:v>0</x:v>
      </x:c>
      <x:c r="K41" s="1" t="n">
        <x:v>58.82</x:v>
      </x:c>
      <x:c r="L41" s="1" t="n">
        <x:v>1</x:v>
      </x:c>
      <x:c r="M41" s="1" t="n">
        <x:v>298</x:v>
      </x:c>
      <x:c r="N41" s="1"/>
      <x:c r="O41" s="1"/>
      <x:c r="P41" s="1"/>
      <x:c r="Q41" s="1"/>
    </x:row>
    <x:row r="42" ht="22" customHeight="1">
      <x:c r="A42" s="1" t="str">
        <x:v>O0037</x:v>
      </x:c>
      <x:c r="B42" s="1" t="str">
        <x:v>Simulated Jaipur Engineering College 037</x:v>
      </x:c>
      <x:c r="C42" s="1" t="str">
        <x:v>West</x:v>
      </x:c>
      <x:c r="D42" s="1" t="str">
        <x:v>Closed Lost</x:v>
      </x:c>
      <x:c r="E42" s="1" t="str">
        <x:v>Lost</x:v>
      </x:c>
      <x:c r="F42" s="7" t="n">
        <x:v>238000</x:v>
      </x:c>
      <x:c r="G42" s="8" t="d">
        <x:v>2026-05-01T00:00:00.000Z</x:v>
      </x:c>
      <x:c r="H42" s="8" t="d">
        <x:v>2026-08-01T00:00:00.000Z</x:v>
      </x:c>
      <x:c r="I42" s="8" t="d">
        <x:v>2026-05-25T00:00:00.000Z</x:v>
      </x:c>
      <x:c r="J42" s="7" t="n">
        <x:v>0</x:v>
      </x:c>
      <x:c r="K42" s="1" t="n">
        <x:v>0</x:v>
      </x:c>
      <x:c r="L42" s="1" t="n">
        <x:v>0</x:v>
      </x:c>
      <x:c r="M42" s="1" t="n">
        <x:v>128</x:v>
      </x:c>
      <x:c r="N42" s="1"/>
      <x:c r="O42" s="1"/>
      <x:c r="P42" s="1"/>
      <x:c r="Q42" s="1"/>
    </x:row>
    <x:row r="43" ht="22" customHeight="1">
      <x:c r="A43" s="1" t="str">
        <x:v>O0038</x:v>
      </x:c>
      <x:c r="B43" s="1" t="str">
        <x:v>Simulated Bengaluru Management Institute 038</x:v>
      </x:c>
      <x:c r="C43" s="1" t="str">
        <x:v>South</x:v>
      </x:c>
      <x:c r="D43" s="1" t="str">
        <x:v>Proposal Sent</x:v>
      </x:c>
      <x:c r="E43" s="1" t="str">
        <x:v>Open</x:v>
      </x:c>
      <x:c r="F43" s="7" t="n">
        <x:v>151000</x:v>
      </x:c>
      <x:c r="G43" s="8" t="d">
        <x:v>2026-02-24T00:00:00.000Z</x:v>
      </x:c>
      <x:c r="H43" s="8" t="d">
        <x:v>2026-06-10T00:00:00.000Z</x:v>
      </x:c>
      <x:c r="I43" s="8"/>
      <x:c r="J43" s="7" t="n">
        <x:v>0</x:v>
      </x:c>
      <x:c r="K43" s="1" t="n">
        <x:v>52.9</x:v>
      </x:c>
      <x:c r="L43" s="1" t="n">
        <x:v>1</x:v>
      </x:c>
      <x:c r="M43" s="1" t="n">
        <x:v>167</x:v>
      </x:c>
      <x:c r="N43" s="1"/>
      <x:c r="O43" s="1"/>
      <x:c r="P43" s="1"/>
      <x:c r="Q43" s="1"/>
    </x:row>
    <x:row r="44" ht="22" customHeight="1">
      <x:c r="A44" s="1" t="str">
        <x:v>O0039</x:v>
      </x:c>
      <x:c r="B44" s="1" t="str">
        <x:v>Simulated Chennai Management Institute 039</x:v>
      </x:c>
      <x:c r="C44" s="1" t="str">
        <x:v>South</x:v>
      </x:c>
      <x:c r="D44" s="1" t="str">
        <x:v>Initial Contact</x:v>
      </x:c>
      <x:c r="E44" s="1" t="str">
        <x:v>Open</x:v>
      </x:c>
      <x:c r="F44" s="7" t="n">
        <x:v>259000</x:v>
      </x:c>
      <x:c r="G44" s="8" t="d">
        <x:v>2026-08-24T00:00:00.000Z</x:v>
      </x:c>
      <x:c r="H44" s="8" t="d">
        <x:v>2026-11-15T00:00:00.000Z</x:v>
      </x:c>
      <x:c r="I44" s="8"/>
      <x:c r="J44" s="7" t="n">
        <x:v>0</x:v>
      </x:c>
      <x:c r="K44" s="1" t="n">
        <x:v>56.96</x:v>
      </x:c>
      <x:c r="L44" s="1" t="n">
        <x:v>0</x:v>
      </x:c>
      <x:c r="M44" s="1" t="n">
        <x:v>10</x:v>
      </x:c>
      <x:c r="N44" s="1"/>
      <x:c r="O44" s="1"/>
      <x:c r="P44" s="1"/>
      <x:c r="Q44" s="1"/>
    </x:row>
    <x:row r="45" ht="22" customHeight="1">
      <x:c r="A45" s="1" t="str">
        <x:v>O0040</x:v>
      </x:c>
      <x:c r="B45" s="1" t="str">
        <x:v>Simulated Hyderabad Arts and Science College 040</x:v>
      </x:c>
      <x:c r="C45" s="1" t="str">
        <x:v>South</x:v>
      </x:c>
      <x:c r="D45" s="1" t="str">
        <x:v>Closed Won</x:v>
      </x:c>
      <x:c r="E45" s="1" t="str">
        <x:v>Won</x:v>
      </x:c>
      <x:c r="F45" s="7" t="n">
        <x:v>110000</x:v>
      </x:c>
      <x:c r="G45" s="8" t="d">
        <x:v>2026-03-25T00:00:00.000Z</x:v>
      </x:c>
      <x:c r="H45" s="8" t="d">
        <x:v>2026-07-03T00:00:00.000Z</x:v>
      </x:c>
      <x:c r="I45" s="8" t="d">
        <x:v>2026-08-22T00:00:00.000Z</x:v>
      </x:c>
      <x:c r="J45" s="7" t="n">
        <x:v>12054.79</x:v>
      </x:c>
      <x:c r="K45" s="1" t="n">
        <x:v>0</x:v>
      </x:c>
      <x:c r="L45" s="1" t="n">
        <x:v>0</x:v>
      </x:c>
      <x:c r="M45" s="1" t="n">
        <x:v>39</x:v>
      </x:c>
      <x:c r="N45" s="1"/>
      <x:c r="O45" s="1"/>
      <x:c r="P45" s="1"/>
      <x:c r="Q45" s="1"/>
    </x:row>
    <x:row r="46" ht="22" customHeight="1">
      <x:c r="A46" s="1" t="str">
        <x:v>O0041</x:v>
      </x:c>
      <x:c r="B46" s="1" t="str">
        <x:v>Simulated Kolkata University 041</x:v>
      </x:c>
      <x:c r="C46" s="1" t="str">
        <x:v>East</x:v>
      </x:c>
      <x:c r="D46" s="1" t="str">
        <x:v>Prospect Identified</x:v>
      </x:c>
      <x:c r="E46" s="1" t="str">
        <x:v>Open</x:v>
      </x:c>
      <x:c r="F46" s="7" t="n">
        <x:v>199000</x:v>
      </x:c>
      <x:c r="G46" s="8" t="d">
        <x:v>2025-11-06T00:00:00.000Z</x:v>
      </x:c>
      <x:c r="H46" s="8" t="d">
        <x:v>2026-01-30T00:00:00.000Z</x:v>
      </x:c>
      <x:c r="I46" s="8"/>
      <x:c r="J46" s="7" t="n">
        <x:v>0</x:v>
      </x:c>
      <x:c r="K46" s="1" t="n">
        <x:v>53.39</x:v>
      </x:c>
      <x:c r="L46" s="1" t="n">
        <x:v>0</x:v>
      </x:c>
      <x:c r="M46" s="1" t="n">
        <x:v>328</x:v>
      </x:c>
      <x:c r="N46" s="1"/>
      <x:c r="O46" s="1"/>
      <x:c r="P46" s="1"/>
      <x:c r="Q46" s="1"/>
    </x:row>
    <x:row r="47" ht="22" customHeight="1">
      <x:c r="A47" s="1" t="str">
        <x:v>O0042</x:v>
      </x:c>
      <x:c r="B47" s="1" t="str">
        <x:v>Simulated Bhubaneswar Engineering College 042</x:v>
      </x:c>
      <x:c r="C47" s="1" t="str">
        <x:v>East</x:v>
      </x:c>
      <x:c r="D47" s="1" t="str">
        <x:v>Meeting Scheduled</x:v>
      </x:c>
      <x:c r="E47" s="1" t="str">
        <x:v>Open</x:v>
      </x:c>
      <x:c r="F47" s="7" t="n">
        <x:v>180000</x:v>
      </x:c>
      <x:c r="G47" s="8" t="d">
        <x:v>2026-02-21T00:00:00.000Z</x:v>
      </x:c>
      <x:c r="H47" s="8" t="d">
        <x:v>2026-06-13T00:00:00.000Z</x:v>
      </x:c>
      <x:c r="I47" s="8"/>
      <x:c r="J47" s="7" t="n">
        <x:v>0</x:v>
      </x:c>
      <x:c r="K47" s="1" t="n">
        <x:v>42.29</x:v>
      </x:c>
      <x:c r="L47" s="1" t="n">
        <x:v>1</x:v>
      </x:c>
      <x:c r="M47" s="1" t="n">
        <x:v>165</x:v>
      </x:c>
      <x:c r="N47" s="1"/>
      <x:c r="O47" s="1"/>
      <x:c r="P47" s="1"/>
      <x:c r="Q47" s="1"/>
    </x:row>
    <x:row r="48" ht="22" customHeight="1">
      <x:c r="A48" s="1" t="str">
        <x:v>O0043</x:v>
      </x:c>
      <x:c r="B48" s="1" t="str">
        <x:v>Simulated Patna University 043</x:v>
      </x:c>
      <x:c r="C48" s="1" t="str">
        <x:v>East</x:v>
      </x:c>
      <x:c r="D48" s="1" t="str">
        <x:v>Prospect Identified</x:v>
      </x:c>
      <x:c r="E48" s="1" t="str">
        <x:v>Open</x:v>
      </x:c>
      <x:c r="F48" s="7" t="n">
        <x:v>444000</x:v>
      </x:c>
      <x:c r="G48" s="8" t="d">
        <x:v>2026-09-23T00:00:00.000Z</x:v>
      </x:c>
      <x:c r="H48" s="8" t="d">
        <x:v>2026-12-23T00:00:00.000Z</x:v>
      </x:c>
      <x:c r="I48" s="8"/>
      <x:c r="J48" s="7" t="n">
        <x:v>0</x:v>
      </x:c>
      <x:c r="K48" s="1" t="n">
        <x:v>46.64</x:v>
      </x:c>
      <x:c r="L48" s="1" t="n">
        <x:v>0</x:v>
      </x:c>
      <x:c r="M48" s="1" t="n">
        <x:v>7</x:v>
      </x:c>
      <x:c r="N48" s="1"/>
      <x:c r="O48" s="1"/>
      <x:c r="P48" s="1"/>
      <x:c r="Q48" s="1"/>
    </x:row>
    <x:row r="49" ht="22" customHeight="1">
      <x:c r="A49" s="1" t="str">
        <x:v>O0044</x:v>
      </x:c>
      <x:c r="B49" s="1" t="str">
        <x:v>Simulated Guwahati Engineering College 044</x:v>
      </x:c>
      <x:c r="C49" s="1" t="str">
        <x:v>Northeast</x:v>
      </x:c>
      <x:c r="D49" s="1" t="str">
        <x:v>Proposal Sent</x:v>
      </x:c>
      <x:c r="E49" s="1" t="str">
        <x:v>Open</x:v>
      </x:c>
      <x:c r="F49" s="7" t="n">
        <x:v>254000</x:v>
      </x:c>
      <x:c r="G49" s="8" t="d">
        <x:v>2026-06-15T00:00:00.000Z</x:v>
      </x:c>
      <x:c r="H49" s="8" t="d">
        <x:v>2026-09-09T00:00:00.000Z</x:v>
      </x:c>
      <x:c r="I49" s="8"/>
      <x:c r="J49" s="7" t="n">
        <x:v>0</x:v>
      </x:c>
      <x:c r="K49" s="1" t="n">
        <x:v>54.82</x:v>
      </x:c>
      <x:c r="L49" s="1" t="n">
        <x:v>1</x:v>
      </x:c>
      <x:c r="M49" s="1" t="n">
        <x:v>34</x:v>
      </x:c>
      <x:c r="N49" s="1"/>
      <x:c r="O49" s="1"/>
      <x:c r="P49" s="1"/>
      <x:c r="Q49" s="1"/>
    </x:row>
    <x:row r="50" ht="22" customHeight="1">
      <x:c r="A50" s="1" t="str">
        <x:v>O0045</x:v>
      </x:c>
      <x:c r="B50" s="1" t="str">
        <x:v>Simulated Indore University 045</x:v>
      </x:c>
      <x:c r="C50" s="1" t="str">
        <x:v>Central</x:v>
      </x:c>
      <x:c r="D50" s="1" t="str">
        <x:v>Closed Lost</x:v>
      </x:c>
      <x:c r="E50" s="1" t="str">
        <x:v>Lost</x:v>
      </x:c>
      <x:c r="F50" s="7" t="n">
        <x:v>816000</x:v>
      </x:c>
      <x:c r="G50" s="8" t="d">
        <x:v>2026-02-23T00:00:00.000Z</x:v>
      </x:c>
      <x:c r="H50" s="8" t="d">
        <x:v>2026-07-14T00:00:00.000Z</x:v>
      </x:c>
      <x:c r="I50" s="8" t="d">
        <x:v>2026-04-06T00:00:00.000Z</x:v>
      </x:c>
      <x:c r="J50" s="7" t="n">
        <x:v>0</x:v>
      </x:c>
      <x:c r="K50" s="1" t="n">
        <x:v>0</x:v>
      </x:c>
      <x:c r="L50" s="1" t="n">
        <x:v>0</x:v>
      </x:c>
      <x:c r="M50" s="1" t="n">
        <x:v>177</x:v>
      </x:c>
      <x:c r="N50" s="1"/>
      <x:c r="O50" s="1"/>
      <x:c r="P50" s="1"/>
      <x:c r="Q50" s="1"/>
    </x:row>
    <x:row r="51" ht="22" customHeight="1">
      <x:c r="A51" s="1" t="str">
        <x:v>O0046</x:v>
      </x:c>
      <x:c r="B51" s="1" t="str">
        <x:v>Simulated New Delhi University 046</x:v>
      </x:c>
      <x:c r="C51" s="1" t="str">
        <x:v>North</x:v>
      </x:c>
      <x:c r="D51" s="1" t="str">
        <x:v>Qualified</x:v>
      </x:c>
      <x:c r="E51" s="1" t="str">
        <x:v>Open</x:v>
      </x:c>
      <x:c r="F51" s="7" t="n">
        <x:v>228000</x:v>
      </x:c>
      <x:c r="G51" s="8" t="d">
        <x:v>2026-01-02T00:00:00.000Z</x:v>
      </x:c>
      <x:c r="H51" s="8" t="d">
        <x:v>2026-05-07T00:00:00.000Z</x:v>
      </x:c>
      <x:c r="I51" s="8"/>
      <x:c r="J51" s="7" t="n">
        <x:v>0</x:v>
      </x:c>
      <x:c r="K51" s="1" t="n">
        <x:v>49.25</x:v>
      </x:c>
      <x:c r="L51" s="1" t="n">
        <x:v>1</x:v>
      </x:c>
      <x:c r="M51" s="1" t="n">
        <x:v>249</x:v>
      </x:c>
      <x:c r="N51" s="1"/>
      <x:c r="O51" s="1"/>
      <x:c r="P51" s="1"/>
      <x:c r="Q51" s="1"/>
    </x:row>
    <x:row r="52" ht="22" customHeight="1">
      <x:c r="A52" s="1" t="str">
        <x:v>O0047</x:v>
      </x:c>
      <x:c r="B52" s="1" t="str">
        <x:v>Simulated Noida Management Institute 047</x:v>
      </x:c>
      <x:c r="C52" s="1" t="str">
        <x:v>North</x:v>
      </x:c>
      <x:c r="D52" s="1" t="str">
        <x:v>Prospect Identified</x:v>
      </x:c>
      <x:c r="E52" s="1" t="str">
        <x:v>Open</x:v>
      </x:c>
      <x:c r="F52" s="7" t="n">
        <x:v>156000</x:v>
      </x:c>
      <x:c r="G52" s="8" t="d">
        <x:v>2026-09-14T00:00:00.000Z</x:v>
      </x:c>
      <x:c r="H52" s="8" t="d">
        <x:v>2027-01-28T00:00:00.000Z</x:v>
      </x:c>
      <x:c r="I52" s="8"/>
      <x:c r="J52" s="7" t="n">
        <x:v>0</x:v>
      </x:c>
      <x:c r="K52" s="1" t="n">
        <x:v>47.86</x:v>
      </x:c>
      <x:c r="L52" s="1" t="n">
        <x:v>0</x:v>
      </x:c>
      <x:c r="M52" s="1" t="n">
        <x:v>16</x:v>
      </x:c>
      <x:c r="N52" s="1"/>
      <x:c r="O52" s="1"/>
      <x:c r="P52" s="1"/>
      <x:c r="Q52" s="1"/>
    </x:row>
    <x:row r="53" ht="22" customHeight="1">
      <x:c r="A53" s="1" t="str">
        <x:v>O0048</x:v>
      </x:c>
      <x:c r="B53" s="1" t="str">
        <x:v>Simulated Gurugram University 048</x:v>
      </x:c>
      <x:c r="C53" s="1" t="str">
        <x:v>North</x:v>
      </x:c>
      <x:c r="D53" s="1" t="str">
        <x:v>Prospect Identified</x:v>
      </x:c>
      <x:c r="E53" s="1" t="str">
        <x:v>Open</x:v>
      </x:c>
      <x:c r="F53" s="7" t="n">
        <x:v>945000</x:v>
      </x:c>
      <x:c r="G53" s="8" t="d">
        <x:v>2026-01-28T00:00:00.000Z</x:v>
      </x:c>
      <x:c r="H53" s="8" t="d">
        <x:v>2026-05-16T00:00:00.000Z</x:v>
      </x:c>
      <x:c r="I53" s="8"/>
      <x:c r="J53" s="7" t="n">
        <x:v>0</x:v>
      </x:c>
      <x:c r="K53" s="1" t="n">
        <x:v>73.05</x:v>
      </x:c>
      <x:c r="L53" s="1" t="n">
        <x:v>1</x:v>
      </x:c>
      <x:c r="M53" s="1" t="n">
        <x:v>245</x:v>
      </x:c>
      <x:c r="N53" s="1"/>
      <x:c r="O53" s="1"/>
      <x:c r="P53" s="1"/>
      <x:c r="Q53" s="1"/>
    </x:row>
    <x:row r="54" ht="22" customHeight="1">
      <x:c r="A54" s="1" t="str">
        <x:v>O0049</x:v>
      </x:c>
      <x:c r="B54" s="1" t="str">
        <x:v>Simulated Ludhiana University 049</x:v>
      </x:c>
      <x:c r="C54" s="1" t="str">
        <x:v>North</x:v>
      </x:c>
      <x:c r="D54" s="1" t="str">
        <x:v>Prospect Identified</x:v>
      </x:c>
      <x:c r="E54" s="1" t="str">
        <x:v>Open</x:v>
      </x:c>
      <x:c r="F54" s="7" t="n">
        <x:v>307000</x:v>
      </x:c>
      <x:c r="G54" s="8" t="d">
        <x:v>2026-07-19T00:00:00.000Z</x:v>
      </x:c>
      <x:c r="H54" s="8" t="d">
        <x:v>2026-10-07T00:00:00.000Z</x:v>
      </x:c>
      <x:c r="I54" s="8"/>
      <x:c r="J54" s="7" t="n">
        <x:v>0</x:v>
      </x:c>
      <x:c r="K54" s="1" t="n">
        <x:v>52.49</x:v>
      </x:c>
      <x:c r="L54" s="1" t="n">
        <x:v>0</x:v>
      </x:c>
      <x:c r="M54" s="1" t="n">
        <x:v>73</x:v>
      </x:c>
      <x:c r="N54" s="1"/>
      <x:c r="O54" s="1"/>
      <x:c r="P54" s="1"/>
      <x:c r="Q54" s="1"/>
    </x:row>
    <x:row r="55" ht="22" customHeight="1">
      <x:c r="A55" s="1" t="str">
        <x:v>O0050</x:v>
      </x:c>
      <x:c r="B55" s="1" t="str">
        <x:v>Simulated Pune Engineering College 050</x:v>
      </x:c>
      <x:c r="C55" s="1" t="str">
        <x:v>West</x:v>
      </x:c>
      <x:c r="D55" s="1" t="str">
        <x:v>Initial Contact</x:v>
      </x:c>
      <x:c r="E55" s="1" t="str">
        <x:v>Open</x:v>
      </x:c>
      <x:c r="F55" s="7" t="n">
        <x:v>330000</x:v>
      </x:c>
      <x:c r="G55" s="8" t="d">
        <x:v>2026-08-16T00:00:00.000Z</x:v>
      </x:c>
      <x:c r="H55" s="8" t="d">
        <x:v>2026-11-18T00:00:00.000Z</x:v>
      </x:c>
      <x:c r="I55" s="8"/>
      <x:c r="J55" s="7" t="n">
        <x:v>0</x:v>
      </x:c>
      <x:c r="K55" s="1" t="n">
        <x:v>54.96</x:v>
      </x:c>
      <x:c r="L55" s="1" t="n">
        <x:v>0</x:v>
      </x:c>
      <x:c r="M55" s="1" t="n">
        <x:v>13</x:v>
      </x:c>
      <x:c r="N55" s="1"/>
      <x:c r="O55" s="1"/>
      <x:c r="P55" s="1"/>
      <x:c r="Q55" s="1"/>
    </x:row>
    <x:row r="56" ht="22" customHeight="1">
      <x:c r="A56" s="1" t="str">
        <x:v>O0051</x:v>
      </x:c>
      <x:c r="B56" s="1" t="str">
        <x:v>Simulated Ahmedabad Management Institute 051</x:v>
      </x:c>
      <x:c r="C56" s="1" t="str">
        <x:v>West</x:v>
      </x:c>
      <x:c r="D56" s="1" t="str">
        <x:v>Prospect Identified</x:v>
      </x:c>
      <x:c r="E56" s="1" t="str">
        <x:v>Open</x:v>
      </x:c>
      <x:c r="F56" s="7" t="n">
        <x:v>293000</x:v>
      </x:c>
      <x:c r="G56" s="8" t="d">
        <x:v>2026-04-23T00:00:00.000Z</x:v>
      </x:c>
      <x:c r="H56" s="8" t="d">
        <x:v>2026-08-06T00:00:00.000Z</x:v>
      </x:c>
      <x:c r="I56" s="8"/>
      <x:c r="J56" s="7" t="n">
        <x:v>0</x:v>
      </x:c>
      <x:c r="K56" s="1" t="n">
        <x:v>47.9</x:v>
      </x:c>
      <x:c r="L56" s="1" t="n">
        <x:v>1</x:v>
      </x:c>
      <x:c r="M56" s="1" t="n">
        <x:v>160</x:v>
      </x:c>
      <x:c r="N56" s="1"/>
      <x:c r="O56" s="1"/>
      <x:c r="P56" s="1"/>
      <x:c r="Q56" s="1"/>
    </x:row>
    <x:row r="57" ht="22" customHeight="1">
      <x:c r="A57" s="1" t="str">
        <x:v>O0052</x:v>
      </x:c>
      <x:c r="B57" s="1" t="str">
        <x:v>Simulated Jaipur Arts and Science College 052</x:v>
      </x:c>
      <x:c r="C57" s="1" t="str">
        <x:v>West</x:v>
      </x:c>
      <x:c r="D57" s="1" t="str">
        <x:v>Closed Lost</x:v>
      </x:c>
      <x:c r="E57" s="1" t="str">
        <x:v>Lost</x:v>
      </x:c>
      <x:c r="F57" s="7" t="n">
        <x:v>254000</x:v>
      </x:c>
      <x:c r="G57" s="8" t="d">
        <x:v>2025-11-07T00:00:00.000Z</x:v>
      </x:c>
      <x:c r="H57" s="8" t="d">
        <x:v>2026-01-28T00:00:00.000Z</x:v>
      </x:c>
      <x:c r="I57" s="8" t="d">
        <x:v>2026-01-09T00:00:00.000Z</x:v>
      </x:c>
      <x:c r="J57" s="7" t="n">
        <x:v>0</x:v>
      </x:c>
      <x:c r="K57" s="1" t="n">
        <x:v>0</x:v>
      </x:c>
      <x:c r="L57" s="1" t="n">
        <x:v>0</x:v>
      </x:c>
      <x:c r="M57" s="1" t="n">
        <x:v>264</x:v>
      </x:c>
      <x:c r="N57" s="1"/>
      <x:c r="O57" s="1"/>
      <x:c r="P57" s="1"/>
      <x:c r="Q57" s="1"/>
    </x:row>
    <x:row r="58" ht="22" customHeight="1">
      <x:c r="A58" s="1" t="str">
        <x:v>O0053</x:v>
      </x:c>
      <x:c r="B58" s="1" t="str">
        <x:v>Simulated Bengaluru University 053</x:v>
      </x:c>
      <x:c r="C58" s="1" t="str">
        <x:v>South</x:v>
      </x:c>
      <x:c r="D58" s="1" t="str">
        <x:v>Closed Won</x:v>
      </x:c>
      <x:c r="E58" s="1" t="str">
        <x:v>Won</x:v>
      </x:c>
      <x:c r="F58" s="7" t="n">
        <x:v>359000</x:v>
      </x:c>
      <x:c r="G58" s="8" t="d">
        <x:v>2026-03-04T00:00:00.000Z</x:v>
      </x:c>
      <x:c r="H58" s="8" t="d">
        <x:v>2026-06-29T00:00:00.000Z</x:v>
      </x:c>
      <x:c r="I58" s="8" t="d">
        <x:v>2026-06-22T00:00:00.000Z</x:v>
      </x:c>
      <x:c r="J58" s="7" t="n">
        <x:v>99339.73</x:v>
      </x:c>
      <x:c r="K58" s="1" t="n">
        <x:v>0</x:v>
      </x:c>
      <x:c r="L58" s="1" t="n">
        <x:v>0</x:v>
      </x:c>
      <x:c r="M58" s="1" t="n">
        <x:v>100</x:v>
      </x:c>
      <x:c r="N58" s="1"/>
      <x:c r="O58" s="1"/>
      <x:c r="P58" s="1"/>
      <x:c r="Q58" s="1"/>
    </x:row>
    <x:row r="59" ht="22" customHeight="1">
      <x:c r="A59" s="1" t="str">
        <x:v>O0054</x:v>
      </x:c>
      <x:c r="B59" s="1" t="str">
        <x:v>Simulated Chennai Arts and Science College 054</x:v>
      </x:c>
      <x:c r="C59" s="1" t="str">
        <x:v>South</x:v>
      </x:c>
      <x:c r="D59" s="1" t="str">
        <x:v>Prospect Identified</x:v>
      </x:c>
      <x:c r="E59" s="1" t="str">
        <x:v>Open</x:v>
      </x:c>
      <x:c r="F59" s="7" t="n">
        <x:v>263000</x:v>
      </x:c>
      <x:c r="G59" s="8" t="d">
        <x:v>2026-09-13T00:00:00.000Z</x:v>
      </x:c>
      <x:c r="H59" s="8" t="d">
        <x:v>2027-02-07T00:00:00.000Z</x:v>
      </x:c>
      <x:c r="I59" s="8"/>
      <x:c r="J59" s="7" t="n">
        <x:v>0</x:v>
      </x:c>
      <x:c r="K59" s="1" t="n">
        <x:v>54.68</x:v>
      </x:c>
      <x:c r="L59" s="1" t="n">
        <x:v>0</x:v>
      </x:c>
      <x:c r="M59" s="1" t="n">
        <x:v>17</x:v>
      </x:c>
      <x:c r="N59" s="1"/>
      <x:c r="O59" s="1"/>
      <x:c r="P59" s="1"/>
      <x:c r="Q59" s="1"/>
    </x:row>
    <x:row r="60" ht="22" customHeight="1">
      <x:c r="A60" s="1" t="str">
        <x:v>O0055</x:v>
      </x:c>
      <x:c r="B60" s="1" t="str">
        <x:v>Simulated Hyderabad Management Institute 055</x:v>
      </x:c>
      <x:c r="C60" s="1" t="str">
        <x:v>South</x:v>
      </x:c>
      <x:c r="D60" s="1" t="str">
        <x:v>Prospect Identified</x:v>
      </x:c>
      <x:c r="E60" s="1" t="str">
        <x:v>Open</x:v>
      </x:c>
      <x:c r="F60" s="7" t="n">
        <x:v>368000</x:v>
      </x:c>
      <x:c r="G60" s="8" t="d">
        <x:v>2026-05-15T00:00:00.000Z</x:v>
      </x:c>
      <x:c r="H60" s="8" t="d">
        <x:v>2026-08-07T00:00:00.000Z</x:v>
      </x:c>
      <x:c r="I60" s="8"/>
      <x:c r="J60" s="7" t="n">
        <x:v>0</x:v>
      </x:c>
      <x:c r="K60" s="1" t="n">
        <x:v>52.19</x:v>
      </x:c>
      <x:c r="L60" s="1" t="n">
        <x:v>0</x:v>
      </x:c>
      <x:c r="M60" s="1" t="n">
        <x:v>138</x:v>
      </x:c>
      <x:c r="N60" s="1"/>
      <x:c r="O60" s="1"/>
      <x:c r="P60" s="1"/>
      <x:c r="Q60" s="1"/>
    </x:row>
    <x:row r="61" ht="22" customHeight="1">
      <x:c r="A61" s="1" t="str">
        <x:v>O0056</x:v>
      </x:c>
      <x:c r="B61" s="1" t="str">
        <x:v>Simulated Kolkata Management Institute 056</x:v>
      </x:c>
      <x:c r="C61" s="1" t="str">
        <x:v>East</x:v>
      </x:c>
      <x:c r="D61" s="1" t="str">
        <x:v>Qualified</x:v>
      </x:c>
      <x:c r="E61" s="1" t="str">
        <x:v>Open</x:v>
      </x:c>
      <x:c r="F61" s="7" t="n">
        <x:v>195000</x:v>
      </x:c>
      <x:c r="G61" s="8" t="d">
        <x:v>2026-08-24T00:00:00.000Z</x:v>
      </x:c>
      <x:c r="H61" s="8" t="d">
        <x:v>2027-01-12T00:00:00.000Z</x:v>
      </x:c>
      <x:c r="I61" s="8"/>
      <x:c r="J61" s="7" t="n">
        <x:v>0</x:v>
      </x:c>
      <x:c r="K61" s="1" t="n">
        <x:v>50.21</x:v>
      </x:c>
      <x:c r="L61" s="1" t="n">
        <x:v>1</x:v>
      </x:c>
      <x:c r="M61" s="1" t="n">
        <x:v>16</x:v>
      </x:c>
      <x:c r="N61" s="1"/>
      <x:c r="O61" s="1"/>
      <x:c r="P61" s="1"/>
      <x:c r="Q61" s="1"/>
    </x:row>
    <x:row r="62" ht="22" customHeight="1">
      <x:c r="A62" s="1" t="str">
        <x:v>O0057</x:v>
      </x:c>
      <x:c r="B62" s="1" t="str">
        <x:v>Simulated Bhubaneswar Management Institute 057</x:v>
      </x:c>
      <x:c r="C62" s="1" t="str">
        <x:v>East</x:v>
      </x:c>
      <x:c r="D62" s="1" t="str">
        <x:v>Meeting Scheduled</x:v>
      </x:c>
      <x:c r="E62" s="1" t="str">
        <x:v>Open</x:v>
      </x:c>
      <x:c r="F62" s="7" t="n">
        <x:v>211000</x:v>
      </x:c>
      <x:c r="G62" s="8" t="d">
        <x:v>2026-04-15T00:00:00.000Z</x:v>
      </x:c>
      <x:c r="H62" s="8" t="d">
        <x:v>2026-08-13T00:00:00.000Z</x:v>
      </x:c>
      <x:c r="I62" s="8"/>
      <x:c r="J62" s="7" t="n">
        <x:v>0</x:v>
      </x:c>
      <x:c r="K62" s="1" t="n">
        <x:v>55.54</x:v>
      </x:c>
      <x:c r="L62" s="1" t="n">
        <x:v>0</x:v>
      </x:c>
      <x:c r="M62" s="1" t="n">
        <x:v>94</x:v>
      </x:c>
      <x:c r="N62" s="1"/>
      <x:c r="O62" s="1"/>
      <x:c r="P62" s="1"/>
      <x:c r="Q62" s="1"/>
    </x:row>
    <x:row r="63" ht="22" customHeight="1">
      <x:c r="A63" s="1" t="str">
        <x:v>O0058</x:v>
      </x:c>
      <x:c r="B63" s="1" t="str">
        <x:v>Simulated Patna Arts and Science College 058</x:v>
      </x:c>
      <x:c r="C63" s="1" t="str">
        <x:v>East</x:v>
      </x:c>
      <x:c r="D63" s="1" t="str">
        <x:v>Prospect Identified</x:v>
      </x:c>
      <x:c r="E63" s="1" t="str">
        <x:v>Open</x:v>
      </x:c>
      <x:c r="F63" s="7" t="n">
        <x:v>218000</x:v>
      </x:c>
      <x:c r="G63" s="8" t="d">
        <x:v>2026-09-28T00:00:00.000Z</x:v>
      </x:c>
      <x:c r="H63" s="8" t="d">
        <x:v>2027-02-07T00:00:00.000Z</x:v>
      </x:c>
      <x:c r="I63" s="8"/>
      <x:c r="J63" s="7" t="n">
        <x:v>0</x:v>
      </x:c>
      <x:c r="K63" s="1" t="n">
        <x:v>40.9</x:v>
      </x:c>
      <x:c r="L63" s="1" t="n">
        <x:v>0</x:v>
      </x:c>
      <x:c r="M63" s="1" t="n">
        <x:v>2</x:v>
      </x:c>
      <x:c r="N63" s="1"/>
      <x:c r="O63" s="1"/>
      <x:c r="P63" s="1"/>
      <x:c r="Q63" s="1"/>
    </x:row>
    <x:row r="64" ht="22" customHeight="1">
      <x:c r="A64" s="1" t="str">
        <x:v>O0059</x:v>
      </x:c>
      <x:c r="B64" s="1" t="str">
        <x:v>Simulated Guwahati University 059</x:v>
      </x:c>
      <x:c r="C64" s="1" t="str">
        <x:v>Northeast</x:v>
      </x:c>
      <x:c r="D64" s="1" t="str">
        <x:v>Closed Lost</x:v>
      </x:c>
      <x:c r="E64" s="1" t="str">
        <x:v>Lost</x:v>
      </x:c>
      <x:c r="F64" s="7" t="n">
        <x:v>727000</x:v>
      </x:c>
      <x:c r="G64" s="8" t="d">
        <x:v>2026-03-17T00:00:00.000Z</x:v>
      </x:c>
      <x:c r="H64" s="8" t="d">
        <x:v>2026-07-18T00:00:00.000Z</x:v>
      </x:c>
      <x:c r="I64" s="8" t="d">
        <x:v>2026-05-11T00:00:00.000Z</x:v>
      </x:c>
      <x:c r="J64" s="7" t="n">
        <x:v>0</x:v>
      </x:c>
      <x:c r="K64" s="1" t="n">
        <x:v>0</x:v>
      </x:c>
      <x:c r="L64" s="1" t="n">
        <x:v>0</x:v>
      </x:c>
      <x:c r="M64" s="1" t="n">
        <x:v>142</x:v>
      </x:c>
      <x:c r="N64" s="1"/>
      <x:c r="O64" s="1"/>
      <x:c r="P64" s="1"/>
      <x:c r="Q64" s="1"/>
    </x:row>
    <x:row r="65" ht="22" customHeight="1">
      <x:c r="A65" s="1" t="str">
        <x:v>O0060</x:v>
      </x:c>
      <x:c r="B65" s="1" t="str">
        <x:v>Simulated Indore Engineering College 060</x:v>
      </x:c>
      <x:c r="C65" s="1" t="str">
        <x:v>Central</x:v>
      </x:c>
      <x:c r="D65" s="1" t="str">
        <x:v>Closed Won</x:v>
      </x:c>
      <x:c r="E65" s="1" t="str">
        <x:v>Won</x:v>
      </x:c>
      <x:c r="F65" s="7" t="n">
        <x:v>392000</x:v>
      </x:c>
      <x:c r="G65" s="8" t="d">
        <x:v>2026-02-16T00:00:00.000Z</x:v>
      </x:c>
      <x:c r="H65" s="8" t="d">
        <x:v>2026-06-14T00:00:00.000Z</x:v>
      </x:c>
      <x:c r="I65" s="8" t="d">
        <x:v>2026-07-06T00:00:00.000Z</x:v>
      </x:c>
      <x:c r="J65" s="7" t="n">
        <x:v>93435.62</x:v>
      </x:c>
      <x:c r="K65" s="1" t="n">
        <x:v>0</x:v>
      </x:c>
      <x:c r="L65" s="1" t="n">
        <x:v>0</x:v>
      </x:c>
      <x:c r="M65" s="1" t="n">
        <x:v>86</x:v>
      </x:c>
      <x:c r="N65" s="1"/>
      <x:c r="O65" s="1"/>
      <x:c r="P65" s="1"/>
      <x:c r="Q65" s="1"/>
    </x:row>
    <x:row r="66" ht="22" customHeight="1">
      <x:c r="A66" s="1" t="str">
        <x:v>O0061</x:v>
      </x:c>
      <x:c r="B66" s="1" t="str">
        <x:v>Simulated New Delhi Engineering College 061</x:v>
      </x:c>
      <x:c r="C66" s="1" t="str">
        <x:v>North</x:v>
      </x:c>
      <x:c r="D66" s="1" t="str">
        <x:v>Closed Lost</x:v>
      </x:c>
      <x:c r="E66" s="1" t="str">
        <x:v>Lost</x:v>
      </x:c>
      <x:c r="F66" s="7" t="n">
        <x:v>174000</x:v>
      </x:c>
      <x:c r="G66" s="8" t="d">
        <x:v>2025-10-24T00:00:00.000Z</x:v>
      </x:c>
      <x:c r="H66" s="8" t="d">
        <x:v>2026-01-30T00:00:00.000Z</x:v>
      </x:c>
      <x:c r="I66" s="8" t="d">
        <x:v>2025-11-08T00:00:00.000Z</x:v>
      </x:c>
      <x:c r="J66" s="7" t="n">
        <x:v>0</x:v>
      </x:c>
      <x:c r="K66" s="1" t="n">
        <x:v>0</x:v>
      </x:c>
      <x:c r="L66" s="1" t="n">
        <x:v>0</x:v>
      </x:c>
      <x:c r="M66" s="1" t="n">
        <x:v>326</x:v>
      </x:c>
      <x:c r="N66" s="1"/>
      <x:c r="O66" s="1"/>
      <x:c r="P66" s="1"/>
      <x:c r="Q66" s="1"/>
    </x:row>
    <x:row r="67" ht="22" customHeight="1">
      <x:c r="A67" s="1" t="str">
        <x:v>O0062</x:v>
      </x:c>
      <x:c r="B67" s="1" t="str">
        <x:v>Simulated Noida Management Institute 062</x:v>
      </x:c>
      <x:c r="C67" s="1" t="str">
        <x:v>North</x:v>
      </x:c>
      <x:c r="D67" s="1" t="str">
        <x:v>Qualified</x:v>
      </x:c>
      <x:c r="E67" s="1" t="str">
        <x:v>Open</x:v>
      </x:c>
      <x:c r="F67" s="7" t="n">
        <x:v>222000</x:v>
      </x:c>
      <x:c r="G67" s="8" t="d">
        <x:v>2026-09-12T00:00:00.000Z</x:v>
      </x:c>
      <x:c r="H67" s="8" t="d">
        <x:v>2027-01-09T00:00:00.000Z</x:v>
      </x:c>
      <x:c r="I67" s="8"/>
      <x:c r="J67" s="7" t="n">
        <x:v>0</x:v>
      </x:c>
      <x:c r="K67" s="1" t="n">
        <x:v>54.73</x:v>
      </x:c>
      <x:c r="L67" s="1" t="n">
        <x:v>0</x:v>
      </x:c>
      <x:c r="M67" s="1" t="n">
        <x:v>3</x:v>
      </x:c>
      <x:c r="N67" s="1"/>
      <x:c r="O67" s="1"/>
      <x:c r="P67" s="1"/>
      <x:c r="Q67" s="1"/>
    </x:row>
    <x:row r="68" ht="22" customHeight="1">
      <x:c r="A68" s="1" t="str">
        <x:v>O0063</x:v>
      </x:c>
      <x:c r="B68" s="1" t="str">
        <x:v>Simulated Gurugram University 063</x:v>
      </x:c>
      <x:c r="C68" s="1" t="str">
        <x:v>North</x:v>
      </x:c>
      <x:c r="D68" s="1" t="str">
        <x:v>Prospect Identified</x:v>
      </x:c>
      <x:c r="E68" s="1" t="str">
        <x:v>Open</x:v>
      </x:c>
      <x:c r="F68" s="7" t="n">
        <x:v>338000</x:v>
      </x:c>
      <x:c r="G68" s="8" t="d">
        <x:v>2025-11-08T00:00:00.000Z</x:v>
      </x:c>
      <x:c r="H68" s="8" t="d">
        <x:v>2026-04-04T00:00:00.000Z</x:v>
      </x:c>
      <x:c r="I68" s="8"/>
      <x:c r="J68" s="7" t="n">
        <x:v>0</x:v>
      </x:c>
      <x:c r="K68" s="1" t="n">
        <x:v>39.03</x:v>
      </x:c>
      <x:c r="L68" s="1" t="n">
        <x:v>1</x:v>
      </x:c>
      <x:c r="M68" s="1" t="n">
        <x:v>326</x:v>
      </x:c>
      <x:c r="N68" s="1"/>
      <x:c r="O68" s="1"/>
      <x:c r="P68" s="1"/>
      <x:c r="Q68" s="1"/>
    </x:row>
    <x:row r="69" ht="22" customHeight="1">
      <x:c r="A69" s="1" t="str">
        <x:v>O0064</x:v>
      </x:c>
      <x:c r="B69" s="1" t="str">
        <x:v>Simulated Ludhiana Management Institute 064</x:v>
      </x:c>
      <x:c r="C69" s="1" t="str">
        <x:v>North</x:v>
      </x:c>
      <x:c r="D69" s="1" t="str">
        <x:v>Initial Contact</x:v>
      </x:c>
      <x:c r="E69" s="1" t="str">
        <x:v>Open</x:v>
      </x:c>
      <x:c r="F69" s="7" t="n">
        <x:v>226000</x:v>
      </x:c>
      <x:c r="G69" s="8" t="d">
        <x:v>2026-01-29T00:00:00.000Z</x:v>
      </x:c>
      <x:c r="H69" s="8" t="d">
        <x:v>2026-06-24T00:00:00.000Z</x:v>
      </x:c>
      <x:c r="I69" s="8"/>
      <x:c r="J69" s="7" t="n">
        <x:v>0</x:v>
      </x:c>
      <x:c r="K69" s="1" t="n">
        <x:v>46.87</x:v>
      </x:c>
      <x:c r="L69" s="1" t="n">
        <x:v>1</x:v>
      </x:c>
      <x:c r="M69" s="1" t="n">
        <x:v>195</x:v>
      </x:c>
      <x:c r="N69" s="1"/>
      <x:c r="O69" s="1"/>
      <x:c r="P69" s="1"/>
      <x:c r="Q69" s="1"/>
    </x:row>
    <x:row r="70" ht="22" customHeight="1">
      <x:c r="A70" s="1" t="str">
        <x:v>O0065</x:v>
      </x:c>
      <x:c r="B70" s="1" t="str">
        <x:v>Simulated Pune Management Institute 065</x:v>
      </x:c>
      <x:c r="C70" s="1" t="str">
        <x:v>West</x:v>
      </x:c>
      <x:c r="D70" s="1" t="str">
        <x:v>Meeting Scheduled</x:v>
      </x:c>
      <x:c r="E70" s="1" t="str">
        <x:v>Open</x:v>
      </x:c>
      <x:c r="F70" s="7" t="n">
        <x:v>166000</x:v>
      </x:c>
      <x:c r="G70" s="8" t="d">
        <x:v>2026-05-01T00:00:00.000Z</x:v>
      </x:c>
      <x:c r="H70" s="8" t="d">
        <x:v>2026-09-18T00:00:00.000Z</x:v>
      </x:c>
      <x:c r="I70" s="8"/>
      <x:c r="J70" s="7" t="n">
        <x:v>0</x:v>
      </x:c>
      <x:c r="K70" s="1" t="n">
        <x:v>43.84</x:v>
      </x:c>
      <x:c r="L70" s="1" t="n">
        <x:v>1</x:v>
      </x:c>
      <x:c r="M70" s="1" t="n">
        <x:v>97</x:v>
      </x:c>
      <x:c r="N70" s="1"/>
      <x:c r="O70" s="1"/>
      <x:c r="P70" s="1"/>
      <x:c r="Q70" s="1"/>
    </x:row>
    <x:row r="71" ht="22" customHeight="1">
      <x:c r="A71" s="1" t="str">
        <x:v>O0066</x:v>
      </x:c>
      <x:c r="B71" s="1" t="str">
        <x:v>Simulated Ahmedabad Engineering College 066</x:v>
      </x:c>
      <x:c r="C71" s="1" t="str">
        <x:v>West</x:v>
      </x:c>
      <x:c r="D71" s="1" t="str">
        <x:v>Initial Contact</x:v>
      </x:c>
      <x:c r="E71" s="1" t="str">
        <x:v>Open</x:v>
      </x:c>
      <x:c r="F71" s="7" t="n">
        <x:v>390000</x:v>
      </x:c>
      <x:c r="G71" s="8" t="d">
        <x:v>2026-01-23T00:00:00.000Z</x:v>
      </x:c>
      <x:c r="H71" s="8" t="d">
        <x:v>2026-04-23T00:00:00.000Z</x:v>
      </x:c>
      <x:c r="I71" s="8"/>
      <x:c r="J71" s="7" t="n">
        <x:v>0</x:v>
      </x:c>
      <x:c r="K71" s="1" t="n">
        <x:v>47.84</x:v>
      </x:c>
      <x:c r="L71" s="1" t="n">
        <x:v>1</x:v>
      </x:c>
      <x:c r="M71" s="1" t="n">
        <x:v>231</x:v>
      </x:c>
      <x:c r="N71" s="1"/>
      <x:c r="O71" s="1"/>
      <x:c r="P71" s="1"/>
      <x:c r="Q71" s="1"/>
    </x:row>
    <x:row r="72" ht="22" customHeight="1">
      <x:c r="A72" s="1" t="str">
        <x:v>O0067</x:v>
      </x:c>
      <x:c r="B72" s="1" t="str">
        <x:v>Simulated Jaipur Engineering College 067</x:v>
      </x:c>
      <x:c r="C72" s="1" t="str">
        <x:v>West</x:v>
      </x:c>
      <x:c r="D72" s="1" t="str">
        <x:v>Closed Lost</x:v>
      </x:c>
      <x:c r="E72" s="1" t="str">
        <x:v>Lost</x:v>
      </x:c>
      <x:c r="F72" s="7" t="n">
        <x:v>458000</x:v>
      </x:c>
      <x:c r="G72" s="8" t="d">
        <x:v>2026-03-15T00:00:00.000Z</x:v>
      </x:c>
      <x:c r="H72" s="8" t="d">
        <x:v>2026-07-11T00:00:00.000Z</x:v>
      </x:c>
      <x:c r="I72" s="8" t="d">
        <x:v>2026-07-12T00:00:00.000Z</x:v>
      </x:c>
      <x:c r="J72" s="7" t="n">
        <x:v>0</x:v>
      </x:c>
      <x:c r="K72" s="1" t="n">
        <x:v>0</x:v>
      </x:c>
      <x:c r="L72" s="1" t="n">
        <x:v>0</x:v>
      </x:c>
      <x:c r="M72" s="1" t="n">
        <x:v>80</x:v>
      </x:c>
      <x:c r="N72" s="1"/>
      <x:c r="O72" s="1"/>
      <x:c r="P72" s="1"/>
      <x:c r="Q72" s="1"/>
    </x:row>
    <x:row r="73" ht="22" customHeight="1">
      <x:c r="A73" s="1" t="str">
        <x:v>O0068</x:v>
      </x:c>
      <x:c r="B73" s="1" t="str">
        <x:v>Simulated Bengaluru Management Institute 068</x:v>
      </x:c>
      <x:c r="C73" s="1" t="str">
        <x:v>South</x:v>
      </x:c>
      <x:c r="D73" s="1" t="str">
        <x:v>Proposal Sent</x:v>
      </x:c>
      <x:c r="E73" s="1" t="str">
        <x:v>Open</x:v>
      </x:c>
      <x:c r="F73" s="7" t="n">
        <x:v>103000</x:v>
      </x:c>
      <x:c r="G73" s="8" t="d">
        <x:v>2025-11-30T00:00:00.000Z</x:v>
      </x:c>
      <x:c r="H73" s="8" t="d">
        <x:v>2026-04-02T00:00:00.000Z</x:v>
      </x:c>
      <x:c r="I73" s="8"/>
      <x:c r="J73" s="7" t="n">
        <x:v>0</x:v>
      </x:c>
      <x:c r="K73" s="1" t="n">
        <x:v>49</x:v>
      </x:c>
      <x:c r="L73" s="1" t="n">
        <x:v>1</x:v>
      </x:c>
      <x:c r="M73" s="1" t="n">
        <x:v>226</x:v>
      </x:c>
      <x:c r="N73" s="1"/>
      <x:c r="O73" s="1"/>
      <x:c r="P73" s="1"/>
      <x:c r="Q73" s="1"/>
    </x:row>
    <x:row r="74" ht="22" customHeight="1">
      <x:c r="A74" s="1" t="str">
        <x:v>O0069</x:v>
      </x:c>
      <x:c r="B74" s="1" t="str">
        <x:v>Simulated Chennai Engineering College 069</x:v>
      </x:c>
      <x:c r="C74" s="1" t="str">
        <x:v>South</x:v>
      </x:c>
      <x:c r="D74" s="1" t="str">
        <x:v>Closed Won</x:v>
      </x:c>
      <x:c r="E74" s="1" t="str">
        <x:v>Won</x:v>
      </x:c>
      <x:c r="F74" s="7" t="n">
        <x:v>98000</x:v>
      </x:c>
      <x:c r="G74" s="8" t="d">
        <x:v>2026-05-23T00:00:00.000Z</x:v>
      </x:c>
      <x:c r="H74" s="8" t="d">
        <x:v>2026-09-01T00:00:00.000Z</x:v>
      </x:c>
      <x:c r="I74" s="8" t="d">
        <x:v>2026-09-15T00:00:00.000Z</x:v>
      </x:c>
      <x:c r="J74" s="7" t="n">
        <x:v>4295.89</x:v>
      </x:c>
      <x:c r="K74" s="1" t="n">
        <x:v>0</x:v>
      </x:c>
      <x:c r="L74" s="1" t="n">
        <x:v>0</x:v>
      </x:c>
      <x:c r="M74" s="1" t="n">
        <x:v>15</x:v>
      </x:c>
      <x:c r="N74" s="1"/>
      <x:c r="O74" s="1"/>
      <x:c r="P74" s="1"/>
      <x:c r="Q74" s="1"/>
    </x:row>
    <x:row r="75" ht="22" customHeight="1">
      <x:c r="A75" s="1" t="str">
        <x:v>O0070</x:v>
      </x:c>
      <x:c r="B75" s="1" t="str">
        <x:v>Simulated Hyderabad Arts and Science College 070</x:v>
      </x:c>
      <x:c r="C75" s="1" t="str">
        <x:v>South</x:v>
      </x:c>
      <x:c r="D75" s="1" t="str">
        <x:v>Prospect Identified</x:v>
      </x:c>
      <x:c r="E75" s="1" t="str">
        <x:v>Open</x:v>
      </x:c>
      <x:c r="F75" s="7" t="n">
        <x:v>91000</x:v>
      </x:c>
      <x:c r="G75" s="8" t="d">
        <x:v>2026-04-29T00:00:00.000Z</x:v>
      </x:c>
      <x:c r="H75" s="8" t="d">
        <x:v>2026-08-31T00:00:00.000Z</x:v>
      </x:c>
      <x:c r="I75" s="8"/>
      <x:c r="J75" s="7" t="n">
        <x:v>0</x:v>
      </x:c>
      <x:c r="K75" s="1" t="n">
        <x:v>42.05</x:v>
      </x:c>
      <x:c r="L75" s="1" t="n">
        <x:v>0</x:v>
      </x:c>
      <x:c r="M75" s="1" t="n">
        <x:v>154</x:v>
      </x:c>
      <x:c r="N75" s="1"/>
      <x:c r="O75" s="1"/>
      <x:c r="P75" s="1"/>
      <x:c r="Q75" s="1"/>
    </x:row>
    <x:row r="76" ht="22" customHeight="1">
      <x:c r="A76" s="1" t="str">
        <x:v>O0071</x:v>
      </x:c>
      <x:c r="B76" s="1" t="str">
        <x:v>Simulated Kolkata Engineering College 071</x:v>
      </x:c>
      <x:c r="C76" s="1" t="str">
        <x:v>East</x:v>
      </x:c>
      <x:c r="D76" s="1" t="str">
        <x:v>Prospect Identified</x:v>
      </x:c>
      <x:c r="E76" s="1" t="str">
        <x:v>Open</x:v>
      </x:c>
      <x:c r="F76" s="7" t="n">
        <x:v>109000</x:v>
      </x:c>
      <x:c r="G76" s="8" t="d">
        <x:v>2026-07-12T00:00:00.000Z</x:v>
      </x:c>
      <x:c r="H76" s="8" t="d">
        <x:v>2026-10-09T00:00:00.000Z</x:v>
      </x:c>
      <x:c r="I76" s="8"/>
      <x:c r="J76" s="7" t="n">
        <x:v>0</x:v>
      </x:c>
      <x:c r="K76" s="1" t="n">
        <x:v>40.39</x:v>
      </x:c>
      <x:c r="L76" s="1" t="n">
        <x:v>0</x:v>
      </x:c>
      <x:c r="M76" s="1" t="n">
        <x:v>80</x:v>
      </x:c>
      <x:c r="N76" s="1"/>
      <x:c r="O76" s="1"/>
      <x:c r="P76" s="1"/>
      <x:c r="Q76" s="1"/>
    </x:row>
    <x:row r="77" ht="22" customHeight="1">
      <x:c r="A77" s="1" t="str">
        <x:v>O0072</x:v>
      </x:c>
      <x:c r="B77" s="1" t="str">
        <x:v>Simulated Bhubaneswar Arts and Science College 072</x:v>
      </x:c>
      <x:c r="C77" s="1" t="str">
        <x:v>East</x:v>
      </x:c>
      <x:c r="D77" s="1" t="str">
        <x:v>Qualified</x:v>
      </x:c>
      <x:c r="E77" s="1" t="str">
        <x:v>Open</x:v>
      </x:c>
      <x:c r="F77" s="7" t="n">
        <x:v>278000</x:v>
      </x:c>
      <x:c r="G77" s="8" t="d">
        <x:v>2025-12-20T00:00:00.000Z</x:v>
      </x:c>
      <x:c r="H77" s="8" t="d">
        <x:v>2026-03-20T00:00:00.000Z</x:v>
      </x:c>
      <x:c r="I77" s="8"/>
      <x:c r="J77" s="7" t="n">
        <x:v>0</x:v>
      </x:c>
      <x:c r="K77" s="1" t="n">
        <x:v>39.99</x:v>
      </x:c>
      <x:c r="L77" s="1" t="n">
        <x:v>1</x:v>
      </x:c>
      <x:c r="M77" s="1" t="n">
        <x:v>266</x:v>
      </x:c>
      <x:c r="N77" s="1"/>
      <x:c r="O77" s="1"/>
      <x:c r="P77" s="1"/>
      <x:c r="Q77" s="1"/>
    </x:row>
    <x:row r="78" ht="22" customHeight="1">
      <x:c r="A78" s="1" t="str">
        <x:v>O0073</x:v>
      </x:c>
      <x:c r="B78" s="1" t="str">
        <x:v>Simulated Patna Management Institute 073</x:v>
      </x:c>
      <x:c r="C78" s="1" t="str">
        <x:v>East</x:v>
      </x:c>
      <x:c r="D78" s="1" t="str">
        <x:v>Closed Lost</x:v>
      </x:c>
      <x:c r="E78" s="1" t="str">
        <x:v>Lost</x:v>
      </x:c>
      <x:c r="F78" s="7" t="n">
        <x:v>138000</x:v>
      </x:c>
      <x:c r="G78" s="8" t="d">
        <x:v>2026-01-15T00:00:00.000Z</x:v>
      </x:c>
      <x:c r="H78" s="8" t="d">
        <x:v>2026-04-20T00:00:00.000Z</x:v>
      </x:c>
      <x:c r="I78" s="8" t="d">
        <x:v>2026-02-15T00:00:00.000Z</x:v>
      </x:c>
      <x:c r="J78" s="7" t="n">
        <x:v>0</x:v>
      </x:c>
      <x:c r="K78" s="1" t="n">
        <x:v>0</x:v>
      </x:c>
      <x:c r="L78" s="1" t="n">
        <x:v>0</x:v>
      </x:c>
      <x:c r="M78" s="1" t="n">
        <x:v>227</x:v>
      </x:c>
      <x:c r="N78" s="1"/>
      <x:c r="O78" s="1"/>
      <x:c r="P78" s="1"/>
      <x:c r="Q78" s="1"/>
    </x:row>
    <x:row r="79" ht="22" customHeight="1">
      <x:c r="A79" s="1" t="str">
        <x:v>O0074</x:v>
      </x:c>
      <x:c r="B79" s="1" t="str">
        <x:v>Simulated Guwahati University 074</x:v>
      </x:c>
      <x:c r="C79" s="1" t="str">
        <x:v>Northeast</x:v>
      </x:c>
      <x:c r="D79" s="1" t="str">
        <x:v>Qualified</x:v>
      </x:c>
      <x:c r="E79" s="1" t="str">
        <x:v>Open</x:v>
      </x:c>
      <x:c r="F79" s="7" t="n">
        <x:v>712000</x:v>
      </x:c>
      <x:c r="G79" s="8" t="d">
        <x:v>2026-06-02T00:00:00.000Z</x:v>
      </x:c>
      <x:c r="H79" s="8" t="d">
        <x:v>2026-09-06T00:00:00.000Z</x:v>
      </x:c>
      <x:c r="I79" s="8"/>
      <x:c r="J79" s="7" t="n">
        <x:v>0</x:v>
      </x:c>
      <x:c r="K79" s="1" t="n">
        <x:v>61.57</x:v>
      </x:c>
      <x:c r="L79" s="1" t="n">
        <x:v>1</x:v>
      </x:c>
      <x:c r="M79" s="1" t="n">
        <x:v>89</x:v>
      </x:c>
      <x:c r="N79" s="1"/>
      <x:c r="O79" s="1"/>
      <x:c r="P79" s="1"/>
      <x:c r="Q79" s="1"/>
    </x:row>
    <x:row r="80" ht="22" customHeight="1">
      <x:c r="A80" s="1" t="str">
        <x:v>O0075</x:v>
      </x:c>
      <x:c r="B80" s="1" t="str">
        <x:v>Simulated Indore Arts and Science College 075</x:v>
      </x:c>
      <x:c r="C80" s="1" t="str">
        <x:v>Central</x:v>
      </x:c>
      <x:c r="D80" s="1" t="str">
        <x:v>Meeting Scheduled</x:v>
      </x:c>
      <x:c r="E80" s="1" t="str">
        <x:v>Open</x:v>
      </x:c>
      <x:c r="F80" s="7" t="n">
        <x:v>145000</x:v>
      </x:c>
      <x:c r="G80" s="8" t="d">
        <x:v>2026-06-04T00:00:00.000Z</x:v>
      </x:c>
      <x:c r="H80" s="8" t="d">
        <x:v>2026-09-11T00:00:00.000Z</x:v>
      </x:c>
      <x:c r="I80" s="8"/>
      <x:c r="J80" s="7" t="n">
        <x:v>0</x:v>
      </x:c>
      <x:c r="K80" s="1" t="n">
        <x:v>53.97</x:v>
      </x:c>
      <x:c r="L80" s="1" t="n">
        <x:v>1</x:v>
      </x:c>
      <x:c r="M80" s="1" t="n">
        <x:v>44</x:v>
      </x:c>
      <x:c r="N80" s="1"/>
      <x:c r="O80" s="1"/>
      <x:c r="P80" s="1"/>
      <x:c r="Q80" s="1"/>
    </x:row>
    <x:row r="81" ht="22" customHeight="1">
      <x:c r="A81" s="1" t="str">
        <x:v>O0076</x:v>
      </x:c>
      <x:c r="B81" s="1" t="str">
        <x:v>Simulated New Delhi University 076</x:v>
      </x:c>
      <x:c r="C81" s="1" t="str">
        <x:v>North</x:v>
      </x:c>
      <x:c r="D81" s="1" t="str">
        <x:v>Meeting Scheduled</x:v>
      </x:c>
      <x:c r="E81" s="1" t="str">
        <x:v>Open</x:v>
      </x:c>
      <x:c r="F81" s="7" t="n">
        <x:v>606000</x:v>
      </x:c>
      <x:c r="G81" s="8" t="d">
        <x:v>2025-12-08T00:00:00.000Z</x:v>
      </x:c>
      <x:c r="H81" s="8" t="d">
        <x:v>2026-03-26T00:00:00.000Z</x:v>
      </x:c>
      <x:c r="I81" s="8"/>
      <x:c r="J81" s="7" t="n">
        <x:v>0</x:v>
      </x:c>
      <x:c r="K81" s="1" t="n">
        <x:v>59.89</x:v>
      </x:c>
      <x:c r="L81" s="1" t="n">
        <x:v>1</x:v>
      </x:c>
      <x:c r="M81" s="1" t="n">
        <x:v>246</x:v>
      </x:c>
      <x:c r="N81" s="1"/>
      <x:c r="O81" s="1"/>
      <x:c r="P81" s="1"/>
      <x:c r="Q81" s="1"/>
    </x:row>
    <x:row r="82" ht="22" customHeight="1">
      <x:c r="A82" s="1" t="str">
        <x:v>O0077</x:v>
      </x:c>
      <x:c r="B82" s="1" t="str">
        <x:v>Simulated Noida Management Institute 077</x:v>
      </x:c>
      <x:c r="C82" s="1" t="str">
        <x:v>North</x:v>
      </x:c>
      <x:c r="D82" s="1" t="str">
        <x:v>Prospect Identified</x:v>
      </x:c>
      <x:c r="E82" s="1" t="str">
        <x:v>Open</x:v>
      </x:c>
      <x:c r="F82" s="7" t="n">
        <x:v>176000</x:v>
      </x:c>
      <x:c r="G82" s="8" t="d">
        <x:v>2025-10-03T00:00:00.000Z</x:v>
      </x:c>
      <x:c r="H82" s="8" t="d">
        <x:v>2026-01-05T00:00:00.000Z</x:v>
      </x:c>
      <x:c r="I82" s="8"/>
      <x:c r="J82" s="7" t="n">
        <x:v>0</x:v>
      </x:c>
      <x:c r="K82" s="1" t="n">
        <x:v>23.49</x:v>
      </x:c>
      <x:c r="L82" s="1" t="n">
        <x:v>1</x:v>
      </x:c>
      <x:c r="M82" s="1" t="n">
        <x:v>362</x:v>
      </x:c>
      <x:c r="N82" s="1"/>
      <x:c r="O82" s="1"/>
      <x:c r="P82" s="1"/>
      <x:c r="Q82" s="1"/>
    </x:row>
    <x:row r="83" ht="22" customHeight="1">
      <x:c r="A83" s="1" t="str">
        <x:v>O0078</x:v>
      </x:c>
      <x:c r="B83" s="1" t="str">
        <x:v>Simulated Gurugram Engineering College 078</x:v>
      </x:c>
      <x:c r="C83" s="1" t="str">
        <x:v>North</x:v>
      </x:c>
      <x:c r="D83" s="1" t="str">
        <x:v>Qualified</x:v>
      </x:c>
      <x:c r="E83" s="1" t="str">
        <x:v>Open</x:v>
      </x:c>
      <x:c r="F83" s="7" t="n">
        <x:v>358000</x:v>
      </x:c>
      <x:c r="G83" s="8" t="d">
        <x:v>2026-01-21T00:00:00.000Z</x:v>
      </x:c>
      <x:c r="H83" s="8" t="d">
        <x:v>2026-05-27T00:00:00.000Z</x:v>
      </x:c>
      <x:c r="I83" s="8"/>
      <x:c r="J83" s="7" t="n">
        <x:v>0</x:v>
      </x:c>
      <x:c r="K83" s="1" t="n">
        <x:v>47.93</x:v>
      </x:c>
      <x:c r="L83" s="1" t="n">
        <x:v>1</x:v>
      </x:c>
      <x:c r="M83" s="1" t="n">
        <x:v>225</x:v>
      </x:c>
      <x:c r="N83" s="1"/>
      <x:c r="O83" s="1"/>
      <x:c r="P83" s="1"/>
      <x:c r="Q83" s="1"/>
    </x:row>
    <x:row r="84" ht="22" customHeight="1">
      <x:c r="A84" s="1" t="str">
        <x:v>O0079</x:v>
      </x:c>
      <x:c r="B84" s="1" t="str">
        <x:v>Simulated Ludhiana Arts and Science College 079</x:v>
      </x:c>
      <x:c r="C84" s="1" t="str">
        <x:v>North</x:v>
      </x:c>
      <x:c r="D84" s="1" t="str">
        <x:v>Proposal Sent</x:v>
      </x:c>
      <x:c r="E84" s="1" t="str">
        <x:v>Open</x:v>
      </x:c>
      <x:c r="F84" s="7" t="n">
        <x:v>134000</x:v>
      </x:c>
      <x:c r="G84" s="8" t="d">
        <x:v>2026-05-31T00:00:00.000Z</x:v>
      </x:c>
      <x:c r="H84" s="8" t="d">
        <x:v>2026-10-20T00:00:00.000Z</x:v>
      </x:c>
      <x:c r="I84" s="8"/>
      <x:c r="J84" s="7" t="n">
        <x:v>0</x:v>
      </x:c>
      <x:c r="K84" s="1" t="n">
        <x:v>56.13</x:v>
      </x:c>
      <x:c r="L84" s="1" t="n">
        <x:v>0</x:v>
      </x:c>
      <x:c r="M84" s="1" t="n">
        <x:v>30</x:v>
      </x:c>
      <x:c r="N84" s="1"/>
      <x:c r="O84" s="1"/>
      <x:c r="P84" s="1"/>
      <x:c r="Q84" s="1"/>
    </x:row>
    <x:row r="85" ht="22" customHeight="1">
      <x:c r="A85" s="1" t="str">
        <x:v>O0080</x:v>
      </x:c>
      <x:c r="B85" s="1" t="str">
        <x:v>Simulated Pune University 080</x:v>
      </x:c>
      <x:c r="C85" s="1" t="str">
        <x:v>West</x:v>
      </x:c>
      <x:c r="D85" s="1" t="str">
        <x:v>Qualified</x:v>
      </x:c>
      <x:c r="E85" s="1" t="str">
        <x:v>Open</x:v>
      </x:c>
      <x:c r="F85" s="7" t="n">
        <x:v>249000</x:v>
      </x:c>
      <x:c r="G85" s="8" t="d">
        <x:v>2026-03-26T00:00:00.000Z</x:v>
      </x:c>
      <x:c r="H85" s="8" t="d">
        <x:v>2026-07-16T00:00:00.000Z</x:v>
      </x:c>
      <x:c r="I85" s="8"/>
      <x:c r="J85" s="7" t="n">
        <x:v>0</x:v>
      </x:c>
      <x:c r="K85" s="1" t="n">
        <x:v>48.49</x:v>
      </x:c>
      <x:c r="L85" s="1" t="n">
        <x:v>1</x:v>
      </x:c>
      <x:c r="M85" s="1" t="n">
        <x:v>168</x:v>
      </x:c>
      <x:c r="N85" s="1"/>
      <x:c r="O85" s="1"/>
      <x:c r="P85" s="1"/>
      <x:c r="Q85" s="1"/>
    </x:row>
    <x:row r="86" ht="22" customHeight="1">
      <x:c r="A86" s="1" t="str">
        <x:v>O0081</x:v>
      </x:c>
      <x:c r="B86" s="1" t="str">
        <x:v>Simulated Ahmedabad Engineering College 081</x:v>
      </x:c>
      <x:c r="C86" s="1" t="str">
        <x:v>West</x:v>
      </x:c>
      <x:c r="D86" s="1" t="str">
        <x:v>Prospect Identified</x:v>
      </x:c>
      <x:c r="E86" s="1" t="str">
        <x:v>Open</x:v>
      </x:c>
      <x:c r="F86" s="7" t="n">
        <x:v>115000</x:v>
      </x:c>
      <x:c r="G86" s="8" t="d">
        <x:v>2026-09-24T00:00:00.000Z</x:v>
      </x:c>
      <x:c r="H86" s="8" t="d">
        <x:v>2027-01-12T00:00:00.000Z</x:v>
      </x:c>
      <x:c r="I86" s="8"/>
      <x:c r="J86" s="7" t="n">
        <x:v>0</x:v>
      </x:c>
      <x:c r="K86" s="1" t="n">
        <x:v>38.47</x:v>
      </x:c>
      <x:c r="L86" s="1" t="n">
        <x:v>0</x:v>
      </x:c>
      <x:c r="M86" s="1" t="n">
        <x:v>6</x:v>
      </x:c>
      <x:c r="N86" s="1"/>
      <x:c r="O86" s="1"/>
      <x:c r="P86" s="1"/>
      <x:c r="Q86" s="1"/>
    </x:row>
    <x:row r="87" ht="22" customHeight="1">
      <x:c r="A87" s="1" t="str">
        <x:v>O0082</x:v>
      </x:c>
      <x:c r="B87" s="1" t="str">
        <x:v>Simulated Jaipur University 082</x:v>
      </x:c>
      <x:c r="C87" s="1" t="str">
        <x:v>West</x:v>
      </x:c>
      <x:c r="D87" s="1" t="str">
        <x:v>Prospect Identified</x:v>
      </x:c>
      <x:c r="E87" s="1" t="str">
        <x:v>Open</x:v>
      </x:c>
      <x:c r="F87" s="7" t="n">
        <x:v>147000</x:v>
      </x:c>
      <x:c r="G87" s="8" t="d">
        <x:v>2026-08-20T00:00:00.000Z</x:v>
      </x:c>
      <x:c r="H87" s="8" t="d">
        <x:v>2027-01-12T00:00:00.000Z</x:v>
      </x:c>
      <x:c r="I87" s="8"/>
      <x:c r="J87" s="7" t="n">
        <x:v>0</x:v>
      </x:c>
      <x:c r="K87" s="1" t="n">
        <x:v>46.18</x:v>
      </x:c>
      <x:c r="L87" s="1" t="n">
        <x:v>0</x:v>
      </x:c>
      <x:c r="M87" s="1" t="n">
        <x:v>41</x:v>
      </x:c>
      <x:c r="N87" s="1"/>
      <x:c r="O87" s="1"/>
      <x:c r="P87" s="1"/>
      <x:c r="Q87" s="1"/>
    </x:row>
    <x:row r="88" ht="22" customHeight="1">
      <x:c r="A88" s="1" t="str">
        <x:v>O0083</x:v>
      </x:c>
      <x:c r="B88" s="1" t="str">
        <x:v>Simulated Bengaluru Arts and Science College 083</x:v>
      </x:c>
      <x:c r="C88" s="1" t="str">
        <x:v>South</x:v>
      </x:c>
      <x:c r="D88" s="1" t="str">
        <x:v>Qualified</x:v>
      </x:c>
      <x:c r="E88" s="1" t="str">
        <x:v>Open</x:v>
      </x:c>
      <x:c r="F88" s="7" t="n">
        <x:v>192000</x:v>
      </x:c>
      <x:c r="G88" s="8" t="d">
        <x:v>2026-09-17T00:00:00.000Z</x:v>
      </x:c>
      <x:c r="H88" s="8" t="d">
        <x:v>2027-02-13T00:00:00.000Z</x:v>
      </x:c>
      <x:c r="I88" s="8"/>
      <x:c r="J88" s="7" t="n">
        <x:v>0</x:v>
      </x:c>
      <x:c r="K88" s="1" t="n">
        <x:v>44.89</x:v>
      </x:c>
      <x:c r="L88" s="1" t="n">
        <x:v>0</x:v>
      </x:c>
      <x:c r="M88" s="1" t="n">
        <x:v>8</x:v>
      </x:c>
      <x:c r="N88" s="1"/>
      <x:c r="O88" s="1"/>
      <x:c r="P88" s="1"/>
      <x:c r="Q88" s="1"/>
    </x:row>
    <x:row r="89" ht="22" customHeight="1">
      <x:c r="A89" s="1" t="str">
        <x:v>O0084</x:v>
      </x:c>
      <x:c r="B89" s="1" t="str">
        <x:v>Simulated Chennai Management Institute 084</x:v>
      </x:c>
      <x:c r="C89" s="1" t="str">
        <x:v>South</x:v>
      </x:c>
      <x:c r="D89" s="1" t="str">
        <x:v>Initial Contact</x:v>
      </x:c>
      <x:c r="E89" s="1" t="str">
        <x:v>Open</x:v>
      </x:c>
      <x:c r="F89" s="7" t="n">
        <x:v>193000</x:v>
      </x:c>
      <x:c r="G89" s="8" t="d">
        <x:v>2026-05-29T00:00:00.000Z</x:v>
      </x:c>
      <x:c r="H89" s="8" t="d">
        <x:v>2026-09-12T00:00:00.000Z</x:v>
      </x:c>
      <x:c r="I89" s="8"/>
      <x:c r="J89" s="7" t="n">
        <x:v>0</x:v>
      </x:c>
      <x:c r="K89" s="1" t="n">
        <x:v>45.15</x:v>
      </x:c>
      <x:c r="L89" s="1" t="n">
        <x:v>0</x:v>
      </x:c>
      <x:c r="M89" s="1" t="n">
        <x:v>107</x:v>
      </x:c>
      <x:c r="N89" s="1"/>
      <x:c r="O89" s="1"/>
      <x:c r="P89" s="1"/>
      <x:c r="Q89" s="1"/>
    </x:row>
    <x:row r="90" ht="22" customHeight="1">
      <x:c r="A90" s="1" t="str">
        <x:v>O0085</x:v>
      </x:c>
      <x:c r="B90" s="1" t="str">
        <x:v>Simulated Hyderabad Management Institute 085</x:v>
      </x:c>
      <x:c r="C90" s="1" t="str">
        <x:v>South</x:v>
      </x:c>
      <x:c r="D90" s="1" t="str">
        <x:v>Closed Lost</x:v>
      </x:c>
      <x:c r="E90" s="1" t="str">
        <x:v>Lost</x:v>
      </x:c>
      <x:c r="F90" s="7" t="n">
        <x:v>275000</x:v>
      </x:c>
      <x:c r="G90" s="8" t="d">
        <x:v>2026-07-19T00:00:00.000Z</x:v>
      </x:c>
      <x:c r="H90" s="8" t="d">
        <x:v>2026-10-19T00:00:00.000Z</x:v>
      </x:c>
      <x:c r="I90" s="8" t="d">
        <x:v>2026-09-12T00:00:00.000Z</x:v>
      </x:c>
      <x:c r="J90" s="7" t="n">
        <x:v>0</x:v>
      </x:c>
      <x:c r="K90" s="1" t="n">
        <x:v>0</x:v>
      </x:c>
      <x:c r="L90" s="1" t="n">
        <x:v>0</x:v>
      </x:c>
      <x:c r="M90" s="1" t="n">
        <x:v>18</x:v>
      </x:c>
      <x:c r="N90" s="1"/>
      <x:c r="O90" s="1"/>
      <x:c r="P90" s="1"/>
      <x:c r="Q90" s="1"/>
    </x:row>
    <x:row r="91" ht="22" customHeight="1">
      <x:c r="A91" s="1" t="str">
        <x:v>O0086</x:v>
      </x:c>
      <x:c r="B91" s="1" t="str">
        <x:v>Simulated Kolkata Engineering College 086</x:v>
      </x:c>
      <x:c r="C91" s="1" t="str">
        <x:v>East</x:v>
      </x:c>
      <x:c r="D91" s="1" t="str">
        <x:v>Closed Lost</x:v>
      </x:c>
      <x:c r="E91" s="1" t="str">
        <x:v>Lost</x:v>
      </x:c>
      <x:c r="F91" s="7" t="n">
        <x:v>173000</x:v>
      </x:c>
      <x:c r="G91" s="8" t="d">
        <x:v>2025-12-19T00:00:00.000Z</x:v>
      </x:c>
      <x:c r="H91" s="8" t="d">
        <x:v>2026-03-16T00:00:00.000Z</x:v>
      </x:c>
      <x:c r="I91" s="8" t="d">
        <x:v>2026-02-20T00:00:00.000Z</x:v>
      </x:c>
      <x:c r="J91" s="7" t="n">
        <x:v>0</x:v>
      </x:c>
      <x:c r="K91" s="1" t="n">
        <x:v>0</x:v>
      </x:c>
      <x:c r="L91" s="1" t="n">
        <x:v>0</x:v>
      </x:c>
      <x:c r="M91" s="1" t="n">
        <x:v>222</x:v>
      </x:c>
      <x:c r="N91" s="1"/>
      <x:c r="O91" s="1"/>
      <x:c r="P91" s="1"/>
      <x:c r="Q91" s="1"/>
    </x:row>
    <x:row r="92" ht="22" customHeight="1">
      <x:c r="A92" s="1" t="str">
        <x:v>O0087</x:v>
      </x:c>
      <x:c r="B92" s="1" t="str">
        <x:v>Simulated Bhubaneswar University 087</x:v>
      </x:c>
      <x:c r="C92" s="1" t="str">
        <x:v>East</x:v>
      </x:c>
      <x:c r="D92" s="1" t="str">
        <x:v>Closed Lost</x:v>
      </x:c>
      <x:c r="E92" s="1" t="str">
        <x:v>Lost</x:v>
      </x:c>
      <x:c r="F92" s="7" t="n">
        <x:v>221000</x:v>
      </x:c>
      <x:c r="G92" s="8" t="d">
        <x:v>2026-07-23T00:00:00.000Z</x:v>
      </x:c>
      <x:c r="H92" s="8" t="d">
        <x:v>2026-11-25T00:00:00.000Z</x:v>
      </x:c>
      <x:c r="I92" s="8" t="d">
        <x:v>2026-08-29T00:00:00.000Z</x:v>
      </x:c>
      <x:c r="J92" s="7" t="n">
        <x:v>0</x:v>
      </x:c>
      <x:c r="K92" s="1" t="n">
        <x:v>0</x:v>
      </x:c>
      <x:c r="L92" s="1" t="n">
        <x:v>0</x:v>
      </x:c>
      <x:c r="M92" s="1" t="n">
        <x:v>32</x:v>
      </x:c>
      <x:c r="N92" s="1"/>
      <x:c r="O92" s="1"/>
      <x:c r="P92" s="1"/>
      <x:c r="Q92" s="1"/>
    </x:row>
    <x:row r="93" ht="22" customHeight="1">
      <x:c r="A93" s="1" t="str">
        <x:v>O0088</x:v>
      </x:c>
      <x:c r="B93" s="1" t="str">
        <x:v>Simulated Patna Arts and Science College 088</x:v>
      </x:c>
      <x:c r="C93" s="1" t="str">
        <x:v>East</x:v>
      </x:c>
      <x:c r="D93" s="1" t="str">
        <x:v>Closed Lost</x:v>
      </x:c>
      <x:c r="E93" s="1" t="str">
        <x:v>Lost</x:v>
      </x:c>
      <x:c r="F93" s="7" t="n">
        <x:v>268000</x:v>
      </x:c>
      <x:c r="G93" s="8" t="d">
        <x:v>2025-12-19T00:00:00.000Z</x:v>
      </x:c>
      <x:c r="H93" s="8" t="d">
        <x:v>2026-04-02T00:00:00.000Z</x:v>
      </x:c>
      <x:c r="I93" s="8" t="d">
        <x:v>2026-01-02T00:00:00.000Z</x:v>
      </x:c>
      <x:c r="J93" s="7" t="n">
        <x:v>0</x:v>
      </x:c>
      <x:c r="K93" s="1" t="n">
        <x:v>0</x:v>
      </x:c>
      <x:c r="L93" s="1" t="n">
        <x:v>0</x:v>
      </x:c>
      <x:c r="M93" s="1" t="n">
        <x:v>271</x:v>
      </x:c>
      <x:c r="N93" s="1"/>
      <x:c r="O93" s="1"/>
      <x:c r="P93" s="1"/>
      <x:c r="Q93" s="1"/>
    </x:row>
    <x:row r="94" ht="22" customHeight="1">
      <x:c r="A94" s="1" t="str">
        <x:v>O0089</x:v>
      </x:c>
      <x:c r="B94" s="1" t="str">
        <x:v>Simulated Guwahati University 089</x:v>
      </x:c>
      <x:c r="C94" s="1" t="str">
        <x:v>Northeast</x:v>
      </x:c>
      <x:c r="D94" s="1" t="str">
        <x:v>Closed Lost</x:v>
      </x:c>
      <x:c r="E94" s="1" t="str">
        <x:v>Lost</x:v>
      </x:c>
      <x:c r="F94" s="7" t="n">
        <x:v>367000</x:v>
      </x:c>
      <x:c r="G94" s="8" t="d">
        <x:v>2025-11-16T00:00:00.000Z</x:v>
      </x:c>
      <x:c r="H94" s="8" t="d">
        <x:v>2026-02-12T00:00:00.000Z</x:v>
      </x:c>
      <x:c r="I94" s="8" t="d">
        <x:v>2025-12-14T00:00:00.000Z</x:v>
      </x:c>
      <x:c r="J94" s="7" t="n">
        <x:v>0</x:v>
      </x:c>
      <x:c r="K94" s="1" t="n">
        <x:v>0</x:v>
      </x:c>
      <x:c r="L94" s="1" t="n">
        <x:v>0</x:v>
      </x:c>
      <x:c r="M94" s="1" t="n">
        <x:v>290</x:v>
      </x:c>
      <x:c r="N94" s="1"/>
      <x:c r="O94" s="1"/>
      <x:c r="P94" s="1"/>
      <x:c r="Q94" s="1"/>
    </x:row>
    <x:row r="95" ht="22" customHeight="1">
      <x:c r="A95" s="1" t="str">
        <x:v>O0090</x:v>
      </x:c>
      <x:c r="B95" s="1" t="str">
        <x:v>Simulated Indore Management Institute 090</x:v>
      </x:c>
      <x:c r="C95" s="1" t="str">
        <x:v>Central</x:v>
      </x:c>
      <x:c r="D95" s="1" t="str">
        <x:v>Proposal Sent</x:v>
      </x:c>
      <x:c r="E95" s="1" t="str">
        <x:v>Open</x:v>
      </x:c>
      <x:c r="F95" s="7" t="n">
        <x:v>139000</x:v>
      </x:c>
      <x:c r="G95" s="8" t="d">
        <x:v>2025-10-01T00:00:00.000Z</x:v>
      </x:c>
      <x:c r="H95" s="8" t="d">
        <x:v>2026-02-03T00:00:00.000Z</x:v>
      </x:c>
      <x:c r="I95" s="8"/>
      <x:c r="J95" s="7" t="n">
        <x:v>0</x:v>
      </x:c>
      <x:c r="K95" s="1" t="n">
        <x:v>45.86</x:v>
      </x:c>
      <x:c r="L95" s="1" t="n">
        <x:v>1</x:v>
      </x:c>
      <x:c r="M95" s="1" t="n">
        <x:v>273</x:v>
      </x:c>
      <x:c r="N95" s="1"/>
      <x:c r="O95" s="1"/>
      <x:c r="P95" s="1"/>
      <x:c r="Q95" s="1"/>
    </x:row>
    <x:row r="96" ht="22" customHeight="1">
      <x:c r="A96" s="1" t="str">
        <x:v>O0091</x:v>
      </x:c>
      <x:c r="B96" s="1" t="str">
        <x:v>Simulated New Delhi Engineering College 091</x:v>
      </x:c>
      <x:c r="C96" s="1" t="str">
        <x:v>North</x:v>
      </x:c>
      <x:c r="D96" s="1" t="str">
        <x:v>Closed Lost</x:v>
      </x:c>
      <x:c r="E96" s="1" t="str">
        <x:v>Lost</x:v>
      </x:c>
      <x:c r="F96" s="7" t="n">
        <x:v>154000</x:v>
      </x:c>
      <x:c r="G96" s="8" t="d">
        <x:v>2026-03-04T00:00:00.000Z</x:v>
      </x:c>
      <x:c r="H96" s="8" t="d">
        <x:v>2026-07-07T00:00:00.000Z</x:v>
      </x:c>
      <x:c r="I96" s="8" t="d">
        <x:v>2026-05-05T00:00:00.000Z</x:v>
      </x:c>
      <x:c r="J96" s="7" t="n">
        <x:v>0</x:v>
      </x:c>
      <x:c r="K96" s="1" t="n">
        <x:v>0</x:v>
      </x:c>
      <x:c r="L96" s="1" t="n">
        <x:v>0</x:v>
      </x:c>
      <x:c r="M96" s="1" t="n">
        <x:v>148</x:v>
      </x:c>
      <x:c r="N96" s="1"/>
      <x:c r="O96" s="1"/>
      <x:c r="P96" s="1"/>
      <x:c r="Q96" s="1"/>
    </x:row>
    <x:row r="97" ht="22" customHeight="1">
      <x:c r="A97" s="1" t="str">
        <x:v>O0092</x:v>
      </x:c>
      <x:c r="B97" s="1" t="str">
        <x:v>Simulated Noida University 092</x:v>
      </x:c>
      <x:c r="C97" s="1" t="str">
        <x:v>North</x:v>
      </x:c>
      <x:c r="D97" s="1" t="str">
        <x:v>Closed Lost</x:v>
      </x:c>
      <x:c r="E97" s="1" t="str">
        <x:v>Lost</x:v>
      </x:c>
      <x:c r="F97" s="7" t="n">
        <x:v>437000</x:v>
      </x:c>
      <x:c r="G97" s="8" t="d">
        <x:v>2026-08-09T00:00:00.000Z</x:v>
      </x:c>
      <x:c r="H97" s="8" t="d">
        <x:v>2026-11-08T00:00:00.000Z</x:v>
      </x:c>
      <x:c r="I97" s="8" t="d">
        <x:v>2026-09-10T00:00:00.000Z</x:v>
      </x:c>
      <x:c r="J97" s="7" t="n">
        <x:v>0</x:v>
      </x:c>
      <x:c r="K97" s="1" t="n">
        <x:v>0</x:v>
      </x:c>
      <x:c r="L97" s="1" t="n">
        <x:v>0</x:v>
      </x:c>
      <x:c r="M97" s="1" t="n">
        <x:v>20</x:v>
      </x:c>
      <x:c r="N97" s="1"/>
      <x:c r="O97" s="1"/>
      <x:c r="P97" s="1"/>
      <x:c r="Q97" s="1"/>
    </x:row>
    <x:row r="98" ht="22" customHeight="1">
      <x:c r="A98" s="1" t="str">
        <x:v>O0093</x:v>
      </x:c>
      <x:c r="B98" s="1" t="str">
        <x:v>Simulated Gurugram Arts and Science College 093</x:v>
      </x:c>
      <x:c r="C98" s="1" t="str">
        <x:v>North</x:v>
      </x:c>
      <x:c r="D98" s="1" t="str">
        <x:v>Proposal Sent</x:v>
      </x:c>
      <x:c r="E98" s="1" t="str">
        <x:v>Open</x:v>
      </x:c>
      <x:c r="F98" s="7" t="n">
        <x:v>124000</x:v>
      </x:c>
      <x:c r="G98" s="8" t="d">
        <x:v>2025-11-01T00:00:00.000Z</x:v>
      </x:c>
      <x:c r="H98" s="8" t="d">
        <x:v>2026-02-09T00:00:00.000Z</x:v>
      </x:c>
      <x:c r="I98" s="8"/>
      <x:c r="J98" s="7" t="n">
        <x:v>0</x:v>
      </x:c>
      <x:c r="K98" s="1" t="n">
        <x:v>53.84</x:v>
      </x:c>
      <x:c r="L98" s="1" t="n">
        <x:v>0</x:v>
      </x:c>
      <x:c r="M98" s="1" t="n">
        <x:v>288</x:v>
      </x:c>
      <x:c r="N98" s="1"/>
      <x:c r="O98" s="1"/>
      <x:c r="P98" s="1"/>
      <x:c r="Q98" s="1"/>
    </x:row>
    <x:row r="99" ht="22" customHeight="1">
      <x:c r="A99" s="1" t="str">
        <x:v>O0094</x:v>
      </x:c>
      <x:c r="B99" s="1" t="str">
        <x:v>Simulated Ludhiana Arts and Science College 094</x:v>
      </x:c>
      <x:c r="C99" s="1" t="str">
        <x:v>North</x:v>
      </x:c>
      <x:c r="D99" s="1" t="str">
        <x:v>Closed Lost</x:v>
      </x:c>
      <x:c r="E99" s="1" t="str">
        <x:v>Lost</x:v>
      </x:c>
      <x:c r="F99" s="7" t="n">
        <x:v>412000</x:v>
      </x:c>
      <x:c r="G99" s="8" t="d">
        <x:v>2025-10-27T00:00:00.000Z</x:v>
      </x:c>
      <x:c r="H99" s="8" t="d">
        <x:v>2026-01-29T00:00:00.000Z</x:v>
      </x:c>
      <x:c r="I99" s="8" t="d">
        <x:v>2026-01-01T00:00:00.000Z</x:v>
      </x:c>
      <x:c r="J99" s="7" t="n">
        <x:v>0</x:v>
      </x:c>
      <x:c r="K99" s="1" t="n">
        <x:v>0</x:v>
      </x:c>
      <x:c r="L99" s="1" t="n">
        <x:v>0</x:v>
      </x:c>
      <x:c r="M99" s="1" t="n">
        <x:v>272</x:v>
      </x:c>
      <x:c r="N99" s="1"/>
      <x:c r="O99" s="1"/>
      <x:c r="P99" s="1"/>
      <x:c r="Q99" s="1"/>
    </x:row>
    <x:row r="100" ht="22" customHeight="1">
      <x:c r="A100" s="1" t="str">
        <x:v>O0095</x:v>
      </x:c>
      <x:c r="B100" s="1" t="str">
        <x:v>Simulated Pune University 095</x:v>
      </x:c>
      <x:c r="C100" s="1" t="str">
        <x:v>West</x:v>
      </x:c>
      <x:c r="D100" s="1" t="str">
        <x:v>Prospect Identified</x:v>
      </x:c>
      <x:c r="E100" s="1" t="str">
        <x:v>Open</x:v>
      </x:c>
      <x:c r="F100" s="7" t="n">
        <x:v>1040000</x:v>
      </x:c>
      <x:c r="G100" s="8" t="d">
        <x:v>2026-07-21T00:00:00.000Z</x:v>
      </x:c>
      <x:c r="H100" s="8" t="d">
        <x:v>2026-11-03T00:00:00.000Z</x:v>
      </x:c>
      <x:c r="I100" s="8"/>
      <x:c r="J100" s="7" t="n">
        <x:v>0</x:v>
      </x:c>
      <x:c r="K100" s="1" t="n">
        <x:v>76.77</x:v>
      </x:c>
      <x:c r="L100" s="1" t="n">
        <x:v>0</x:v>
      </x:c>
      <x:c r="M100" s="1" t="n">
        <x:v>71</x:v>
      </x:c>
      <x:c r="N100" s="1"/>
      <x:c r="O100" s="1"/>
      <x:c r="P100" s="1"/>
      <x:c r="Q100" s="1"/>
    </x:row>
    <x:row r="101" ht="22" customHeight="1">
      <x:c r="A101" s="1" t="str">
        <x:v>O0096</x:v>
      </x:c>
      <x:c r="B101" s="1" t="str">
        <x:v>Simulated Ahmedabad Engineering College 096</x:v>
      </x:c>
      <x:c r="C101" s="1" t="str">
        <x:v>West</x:v>
      </x:c>
      <x:c r="D101" s="1" t="str">
        <x:v>Prospect Identified</x:v>
      </x:c>
      <x:c r="E101" s="1" t="str">
        <x:v>Open</x:v>
      </x:c>
      <x:c r="F101" s="7" t="n">
        <x:v>218000</x:v>
      </x:c>
      <x:c r="G101" s="8" t="d">
        <x:v>2025-11-08T00:00:00.000Z</x:v>
      </x:c>
      <x:c r="H101" s="8" t="d">
        <x:v>2026-03-23T00:00:00.000Z</x:v>
      </x:c>
      <x:c r="I101" s="8"/>
      <x:c r="J101" s="7" t="n">
        <x:v>0</x:v>
      </x:c>
      <x:c r="K101" s="1" t="n">
        <x:v>44.24</x:v>
      </x:c>
      <x:c r="L101" s="1" t="n">
        <x:v>1</x:v>
      </x:c>
      <x:c r="M101" s="1" t="n">
        <x:v>326</x:v>
      </x:c>
      <x:c r="N101" s="1"/>
      <x:c r="O101" s="1"/>
      <x:c r="P101" s="1"/>
      <x:c r="Q101" s="1"/>
    </x:row>
    <x:row r="102" ht="22" customHeight="1">
      <x:c r="A102" s="1" t="str">
        <x:v>O0097</x:v>
      </x:c>
      <x:c r="B102" s="1" t="str">
        <x:v>Simulated Jaipur University 097</x:v>
      </x:c>
      <x:c r="C102" s="1" t="str">
        <x:v>West</x:v>
      </x:c>
      <x:c r="D102" s="1" t="str">
        <x:v>Prospect Identified</x:v>
      </x:c>
      <x:c r="E102" s="1" t="str">
        <x:v>Open</x:v>
      </x:c>
      <x:c r="F102" s="7" t="n">
        <x:v>624000</x:v>
      </x:c>
      <x:c r="G102" s="8" t="d">
        <x:v>2026-03-27T00:00:00.000Z</x:v>
      </x:c>
      <x:c r="H102" s="8" t="d">
        <x:v>2026-06-16T00:00:00.000Z</x:v>
      </x:c>
      <x:c r="I102" s="8"/>
      <x:c r="J102" s="7" t="n">
        <x:v>0</x:v>
      </x:c>
      <x:c r="K102" s="1" t="n">
        <x:v>64.64</x:v>
      </x:c>
      <x:c r="L102" s="1" t="n">
        <x:v>0</x:v>
      </x:c>
      <x:c r="M102" s="1" t="n">
        <x:v>187</x:v>
      </x:c>
      <x:c r="N102" s="1"/>
      <x:c r="O102" s="1"/>
      <x:c r="P102" s="1"/>
      <x:c r="Q102" s="1"/>
    </x:row>
    <x:row r="103" ht="22" customHeight="1">
      <x:c r="A103" s="1" t="str">
        <x:v>O0098</x:v>
      </x:c>
      <x:c r="B103" s="1" t="str">
        <x:v>Simulated Bengaluru University 098</x:v>
      </x:c>
      <x:c r="C103" s="1" t="str">
        <x:v>South</x:v>
      </x:c>
      <x:c r="D103" s="1" t="str">
        <x:v>Closed Lost</x:v>
      </x:c>
      <x:c r="E103" s="1" t="str">
        <x:v>Lost</x:v>
      </x:c>
      <x:c r="F103" s="7" t="n">
        <x:v>1221000</x:v>
      </x:c>
      <x:c r="G103" s="8" t="d">
        <x:v>2025-12-23T00:00:00.000Z</x:v>
      </x:c>
      <x:c r="H103" s="8" t="d">
        <x:v>2026-03-26T00:00:00.000Z</x:v>
      </x:c>
      <x:c r="I103" s="8" t="d">
        <x:v>2026-04-17T00:00:00.000Z</x:v>
      </x:c>
      <x:c r="J103" s="7" t="n">
        <x:v>0</x:v>
      </x:c>
      <x:c r="K103" s="1" t="n">
        <x:v>0</x:v>
      </x:c>
      <x:c r="L103" s="1" t="n">
        <x:v>0</x:v>
      </x:c>
      <x:c r="M103" s="1" t="n">
        <x:v>166</x:v>
      </x:c>
      <x:c r="N103" s="1"/>
      <x:c r="O103" s="1"/>
      <x:c r="P103" s="1"/>
      <x:c r="Q103" s="1"/>
    </x:row>
    <x:row r="104" ht="22" customHeight="1">
      <x:c r="A104" s="1" t="str">
        <x:v>O0099</x:v>
      </x:c>
      <x:c r="B104" s="1" t="str">
        <x:v>Simulated Chennai University 099</x:v>
      </x:c>
      <x:c r="C104" s="1" t="str">
        <x:v>South</x:v>
      </x:c>
      <x:c r="D104" s="1" t="str">
        <x:v>Closed Lost</x:v>
      </x:c>
      <x:c r="E104" s="1" t="str">
        <x:v>Lost</x:v>
      </x:c>
      <x:c r="F104" s="7" t="n">
        <x:v>1130000</x:v>
      </x:c>
      <x:c r="G104" s="8" t="d">
        <x:v>2026-01-21T00:00:00.000Z</x:v>
      </x:c>
      <x:c r="H104" s="8" t="d">
        <x:v>2026-04-23T00:00:00.000Z</x:v>
      </x:c>
      <x:c r="I104" s="8" t="d">
        <x:v>2026-03-23T00:00:00.000Z</x:v>
      </x:c>
      <x:c r="J104" s="7" t="n">
        <x:v>0</x:v>
      </x:c>
      <x:c r="K104" s="1" t="n">
        <x:v>0</x:v>
      </x:c>
      <x:c r="L104" s="1" t="n">
        <x:v>0</x:v>
      </x:c>
      <x:c r="M104" s="1" t="n">
        <x:v>191</x:v>
      </x:c>
      <x:c r="N104" s="1"/>
      <x:c r="O104" s="1"/>
      <x:c r="P104" s="1"/>
      <x:c r="Q104" s="1"/>
    </x:row>
    <x:row r="105" ht="22" customHeight="1">
      <x:c r="A105" s="1" t="str">
        <x:v>O0100</x:v>
      </x:c>
      <x:c r="B105" s="1" t="str">
        <x:v>Simulated Hyderabad Engineering College 100</x:v>
      </x:c>
      <x:c r="C105" s="1" t="str">
        <x:v>South</x:v>
      </x:c>
      <x:c r="D105" s="1" t="str">
        <x:v>Prospect Identified</x:v>
      </x:c>
      <x:c r="E105" s="1" t="str">
        <x:v>Open</x:v>
      </x:c>
      <x:c r="F105" s="7" t="n">
        <x:v>213000</x:v>
      </x:c>
      <x:c r="G105" s="8" t="d">
        <x:v>2026-09-27T00:00:00.000Z</x:v>
      </x:c>
      <x:c r="H105" s="8" t="d">
        <x:v>2026-12-28T00:00:00.000Z</x:v>
      </x:c>
      <x:c r="I105" s="8"/>
      <x:c r="J105" s="7" t="n">
        <x:v>0</x:v>
      </x:c>
      <x:c r="K105" s="1" t="n">
        <x:v>46.27</x:v>
      </x:c>
      <x:c r="L105" s="1" t="n">
        <x:v>0</x:v>
      </x:c>
      <x:c r="M105" s="1" t="n">
        <x:v>3</x:v>
      </x:c>
      <x:c r="N105" s="1"/>
      <x:c r="O105" s="1"/>
      <x:c r="P105" s="1"/>
      <x:c r="Q105" s="1"/>
    </x:row>
    <x:row r="106" ht="22" customHeight="1">
      <x:c r="A106" s="1" t="str">
        <x:v>O0101</x:v>
      </x:c>
      <x:c r="B106" s="1" t="str">
        <x:v>Simulated Kolkata Arts and Science College 101</x:v>
      </x:c>
      <x:c r="C106" s="1" t="str">
        <x:v>East</x:v>
      </x:c>
      <x:c r="D106" s="1" t="str">
        <x:v>Closed Lost</x:v>
      </x:c>
      <x:c r="E106" s="1" t="str">
        <x:v>Lost</x:v>
      </x:c>
      <x:c r="F106" s="7" t="n">
        <x:v>242000</x:v>
      </x:c>
      <x:c r="G106" s="8" t="d">
        <x:v>2026-06-07T00:00:00.000Z</x:v>
      </x:c>
      <x:c r="H106" s="8" t="d">
        <x:v>2026-10-26T00:00:00.000Z</x:v>
      </x:c>
      <x:c r="I106" s="8" t="d">
        <x:v>2026-07-05T00:00:00.000Z</x:v>
      </x:c>
      <x:c r="J106" s="7" t="n">
        <x:v>0</x:v>
      </x:c>
      <x:c r="K106" s="1" t="n">
        <x:v>0</x:v>
      </x:c>
      <x:c r="L106" s="1" t="n">
        <x:v>0</x:v>
      </x:c>
      <x:c r="M106" s="1" t="n">
        <x:v>87</x:v>
      </x:c>
      <x:c r="N106" s="1"/>
      <x:c r="O106" s="1"/>
      <x:c r="P106" s="1"/>
      <x:c r="Q106" s="1"/>
    </x:row>
    <x:row r="107" ht="22" customHeight="1">
      <x:c r="A107" s="1" t="str">
        <x:v>O0102</x:v>
      </x:c>
      <x:c r="B107" s="1" t="str">
        <x:v>Simulated Bhubaneswar Engineering College 102</x:v>
      </x:c>
      <x:c r="C107" s="1" t="str">
        <x:v>East</x:v>
      </x:c>
      <x:c r="D107" s="1" t="str">
        <x:v>Qualified</x:v>
      </x:c>
      <x:c r="E107" s="1" t="str">
        <x:v>Open</x:v>
      </x:c>
      <x:c r="F107" s="7" t="n">
        <x:v>132000</x:v>
      </x:c>
      <x:c r="G107" s="8" t="d">
        <x:v>2026-06-21T00:00:00.000Z</x:v>
      </x:c>
      <x:c r="H107" s="8" t="d">
        <x:v>2026-11-05T00:00:00.000Z</x:v>
      </x:c>
      <x:c r="I107" s="8"/>
      <x:c r="J107" s="7" t="n">
        <x:v>0</x:v>
      </x:c>
      <x:c r="K107" s="1" t="n">
        <x:v>35.76</x:v>
      </x:c>
      <x:c r="L107" s="1" t="n">
        <x:v>0</x:v>
      </x:c>
      <x:c r="M107" s="1" t="n">
        <x:v>69</x:v>
      </x:c>
      <x:c r="N107" s="1"/>
      <x:c r="O107" s="1"/>
      <x:c r="P107" s="1"/>
      <x:c r="Q107" s="1"/>
    </x:row>
    <x:row r="108" ht="22" customHeight="1">
      <x:c r="A108" s="1" t="str">
        <x:v>O0103</x:v>
      </x:c>
      <x:c r="B108" s="1" t="str">
        <x:v>Simulated Patna Engineering College 103</x:v>
      </x:c>
      <x:c r="C108" s="1" t="str">
        <x:v>East</x:v>
      </x:c>
      <x:c r="D108" s="1" t="str">
        <x:v>Proposal Sent</x:v>
      </x:c>
      <x:c r="E108" s="1" t="str">
        <x:v>Open</x:v>
      </x:c>
      <x:c r="F108" s="7" t="n">
        <x:v>170000</x:v>
      </x:c>
      <x:c r="G108" s="8" t="d">
        <x:v>2025-12-19T00:00:00.000Z</x:v>
      </x:c>
      <x:c r="H108" s="8" t="d">
        <x:v>2026-04-21T00:00:00.000Z</x:v>
      </x:c>
      <x:c r="I108" s="8"/>
      <x:c r="J108" s="7" t="n">
        <x:v>0</x:v>
      </x:c>
      <x:c r="K108" s="1" t="n">
        <x:v>45.37</x:v>
      </x:c>
      <x:c r="L108" s="1" t="n">
        <x:v>1</x:v>
      </x:c>
      <x:c r="M108" s="1" t="n">
        <x:v>186</x:v>
      </x:c>
      <x:c r="N108" s="1"/>
      <x:c r="O108" s="1"/>
      <x:c r="P108" s="1"/>
      <x:c r="Q108" s="1"/>
    </x:row>
    <x:row r="109" ht="22" customHeight="1">
      <x:c r="A109" s="1" t="str">
        <x:v>O0104</x:v>
      </x:c>
      <x:c r="B109" s="1" t="str">
        <x:v>Simulated Guwahati Engineering College 104</x:v>
      </x:c>
      <x:c r="C109" s="1" t="str">
        <x:v>Northeast</x:v>
      </x:c>
      <x:c r="D109" s="1" t="str">
        <x:v>Closed Lost</x:v>
      </x:c>
      <x:c r="E109" s="1" t="str">
        <x:v>Lost</x:v>
      </x:c>
      <x:c r="F109" s="7" t="n">
        <x:v>112000</x:v>
      </x:c>
      <x:c r="G109" s="8" t="d">
        <x:v>2026-02-20T00:00:00.000Z</x:v>
      </x:c>
      <x:c r="H109" s="8" t="d">
        <x:v>2026-07-03T00:00:00.000Z</x:v>
      </x:c>
      <x:c r="I109" s="8" t="d">
        <x:v>2026-03-01T00:00:00.000Z</x:v>
      </x:c>
      <x:c r="J109" s="7" t="n">
        <x:v>0</x:v>
      </x:c>
      <x:c r="K109" s="1" t="n">
        <x:v>0</x:v>
      </x:c>
      <x:c r="L109" s="1" t="n">
        <x:v>0</x:v>
      </x:c>
      <x:c r="M109" s="1" t="n">
        <x:v>213</x:v>
      </x:c>
      <x:c r="N109" s="1"/>
      <x:c r="O109" s="1"/>
      <x:c r="P109" s="1"/>
      <x:c r="Q109" s="1"/>
    </x:row>
    <x:row r="110" ht="22" customHeight="1">
      <x:c r="A110" s="1" t="str">
        <x:v>O0105</x:v>
      </x:c>
      <x:c r="B110" s="1" t="str">
        <x:v>Simulated Indore University 105</x:v>
      </x:c>
      <x:c r="C110" s="1" t="str">
        <x:v>Central</x:v>
      </x:c>
      <x:c r="D110" s="1" t="str">
        <x:v>Qualified</x:v>
      </x:c>
      <x:c r="E110" s="1" t="str">
        <x:v>Open</x:v>
      </x:c>
      <x:c r="F110" s="7" t="n">
        <x:v>190000</x:v>
      </x:c>
      <x:c r="G110" s="8" t="d">
        <x:v>2026-08-24T00:00:00.000Z</x:v>
      </x:c>
      <x:c r="H110" s="8" t="d">
        <x:v>2026-12-01T00:00:00.000Z</x:v>
      </x:c>
      <x:c r="I110" s="8"/>
      <x:c r="J110" s="7" t="n">
        <x:v>0</x:v>
      </x:c>
      <x:c r="K110" s="1" t="n">
        <x:v>44.55</x:v>
      </x:c>
      <x:c r="L110" s="1" t="n">
        <x:v>1</x:v>
      </x:c>
      <x:c r="M110" s="1" t="n">
        <x:v>13</x:v>
      </x:c>
      <x:c r="N110" s="1"/>
      <x:c r="O110" s="1"/>
      <x:c r="P110" s="1"/>
      <x:c r="Q110" s="1"/>
    </x:row>
    <x:row r="111" ht="22" customHeight="1">
      <x:c r="A111" s="1" t="str">
        <x:v>O0106</x:v>
      </x:c>
      <x:c r="B111" s="1" t="str">
        <x:v>Simulated New Delhi Management Institute 106</x:v>
      </x:c>
      <x:c r="C111" s="1" t="str">
        <x:v>North</x:v>
      </x:c>
      <x:c r="D111" s="1" t="str">
        <x:v>Closed Lost</x:v>
      </x:c>
      <x:c r="E111" s="1" t="str">
        <x:v>Lost</x:v>
      </x:c>
      <x:c r="F111" s="7" t="n">
        <x:v>164000</x:v>
      </x:c>
      <x:c r="G111" s="8" t="d">
        <x:v>2026-08-20T00:00:00.000Z</x:v>
      </x:c>
      <x:c r="H111" s="8" t="d">
        <x:v>2026-12-21T00:00:00.000Z</x:v>
      </x:c>
      <x:c r="I111" s="8" t="d">
        <x:v>2026-08-29T00:00:00.000Z</x:v>
      </x:c>
      <x:c r="J111" s="7" t="n">
        <x:v>0</x:v>
      </x:c>
      <x:c r="K111" s="1" t="n">
        <x:v>0</x:v>
      </x:c>
      <x:c r="L111" s="1" t="n">
        <x:v>0</x:v>
      </x:c>
      <x:c r="M111" s="1" t="n">
        <x:v>32</x:v>
      </x:c>
      <x:c r="N111" s="1"/>
      <x:c r="O111" s="1"/>
      <x:c r="P111" s="1"/>
      <x:c r="Q111" s="1"/>
    </x:row>
    <x:row r="112" ht="22" customHeight="1">
      <x:c r="A112" s="1" t="str">
        <x:v>O0107</x:v>
      </x:c>
      <x:c r="B112" s="1" t="str">
        <x:v>Simulated Noida University 107</x:v>
      </x:c>
      <x:c r="C112" s="1" t="str">
        <x:v>North</x:v>
      </x:c>
      <x:c r="D112" s="1" t="str">
        <x:v>Closed Lost</x:v>
      </x:c>
      <x:c r="E112" s="1" t="str">
        <x:v>Lost</x:v>
      </x:c>
      <x:c r="F112" s="7" t="n">
        <x:v>181000</x:v>
      </x:c>
      <x:c r="G112" s="8" t="d">
        <x:v>2025-11-04T00:00:00.000Z</x:v>
      </x:c>
      <x:c r="H112" s="8" t="d">
        <x:v>2026-02-16T00:00:00.000Z</x:v>
      </x:c>
      <x:c r="I112" s="8" t="d">
        <x:v>2026-02-09T00:00:00.000Z</x:v>
      </x:c>
      <x:c r="J112" s="7" t="n">
        <x:v>0</x:v>
      </x:c>
      <x:c r="K112" s="1" t="n">
        <x:v>0</x:v>
      </x:c>
      <x:c r="L112" s="1" t="n">
        <x:v>0</x:v>
      </x:c>
      <x:c r="M112" s="1" t="n">
        <x:v>233</x:v>
      </x:c>
      <x:c r="N112" s="1"/>
      <x:c r="O112" s="1"/>
      <x:c r="P112" s="1"/>
      <x:c r="Q112" s="1"/>
    </x:row>
    <x:row r="113" ht="22" customHeight="1">
      <x:c r="A113" s="1" t="str">
        <x:v>O0108</x:v>
      </x:c>
      <x:c r="B113" s="1" t="str">
        <x:v>Simulated Gurugram Engineering College 108</x:v>
      </x:c>
      <x:c r="C113" s="1" t="str">
        <x:v>North</x:v>
      </x:c>
      <x:c r="D113" s="1" t="str">
        <x:v>Proposal Sent</x:v>
      </x:c>
      <x:c r="E113" s="1" t="str">
        <x:v>Open</x:v>
      </x:c>
      <x:c r="F113" s="7" t="n">
        <x:v>207000</x:v>
      </x:c>
      <x:c r="G113" s="8" t="d">
        <x:v>2026-04-12T00:00:00.000Z</x:v>
      </x:c>
      <x:c r="H113" s="8" t="d">
        <x:v>2026-08-10T00:00:00.000Z</x:v>
      </x:c>
      <x:c r="I113" s="8"/>
      <x:c r="J113" s="7" t="n">
        <x:v>0</x:v>
      </x:c>
      <x:c r="K113" s="1" t="n">
        <x:v>45.99</x:v>
      </x:c>
      <x:c r="L113" s="1" t="n">
        <x:v>1</x:v>
      </x:c>
      <x:c r="M113" s="1" t="n">
        <x:v>83</x:v>
      </x:c>
      <x:c r="N113" s="1"/>
      <x:c r="O113" s="1"/>
      <x:c r="P113" s="1"/>
      <x:c r="Q113" s="1"/>
    </x:row>
    <x:row r="114" ht="22" customHeight="1">
      <x:c r="A114" s="1" t="str">
        <x:v>O0109</x:v>
      </x:c>
      <x:c r="B114" s="1" t="str">
        <x:v>Simulated Ludhiana Engineering College 109</x:v>
      </x:c>
      <x:c r="C114" s="1" t="str">
        <x:v>North</x:v>
      </x:c>
      <x:c r="D114" s="1" t="str">
        <x:v>Qualified</x:v>
      </x:c>
      <x:c r="E114" s="1" t="str">
        <x:v>Open</x:v>
      </x:c>
      <x:c r="F114" s="7" t="n">
        <x:v>267000</x:v>
      </x:c>
      <x:c r="G114" s="8" t="d">
        <x:v>2026-03-21T00:00:00.000Z</x:v>
      </x:c>
      <x:c r="H114" s="8" t="d">
        <x:v>2026-06-30T00:00:00.000Z</x:v>
      </x:c>
      <x:c r="I114" s="8"/>
      <x:c r="J114" s="7" t="n">
        <x:v>0</x:v>
      </x:c>
      <x:c r="K114" s="1" t="n">
        <x:v>41.55</x:v>
      </x:c>
      <x:c r="L114" s="1" t="n">
        <x:v>1</x:v>
      </x:c>
      <x:c r="M114" s="1" t="n">
        <x:v>164</x:v>
      </x:c>
      <x:c r="N114" s="1"/>
      <x:c r="O114" s="1"/>
      <x:c r="P114" s="1"/>
      <x:c r="Q114" s="1"/>
    </x:row>
    <x:row r="115" ht="22" customHeight="1">
      <x:c r="A115" s="1" t="str">
        <x:v>O0110</x:v>
      </x:c>
      <x:c r="B115" s="1" t="str">
        <x:v>Simulated Pune Engineering College 110</x:v>
      </x:c>
      <x:c r="C115" s="1" t="str">
        <x:v>West</x:v>
      </x:c>
      <x:c r="D115" s="1" t="str">
        <x:v>Closed Lost</x:v>
      </x:c>
      <x:c r="E115" s="1" t="str">
        <x:v>Lost</x:v>
      </x:c>
      <x:c r="F115" s="7" t="n">
        <x:v>213000</x:v>
      </x:c>
      <x:c r="G115" s="8" t="d">
        <x:v>2025-10-22T00:00:00.000Z</x:v>
      </x:c>
      <x:c r="H115" s="8" t="d">
        <x:v>2026-03-14T00:00:00.000Z</x:v>
      </x:c>
      <x:c r="I115" s="8" t="d">
        <x:v>2026-03-20T00:00:00.000Z</x:v>
      </x:c>
      <x:c r="J115" s="7" t="n">
        <x:v>0</x:v>
      </x:c>
      <x:c r="K115" s="1" t="n">
        <x:v>0</x:v>
      </x:c>
      <x:c r="L115" s="1" t="n">
        <x:v>0</x:v>
      </x:c>
      <x:c r="M115" s="1" t="n">
        <x:v>194</x:v>
      </x:c>
      <x:c r="N115" s="1"/>
      <x:c r="O115" s="1"/>
      <x:c r="P115" s="1"/>
      <x:c r="Q115" s="1"/>
    </x:row>
    <x:row r="116" ht="22" customHeight="1">
      <x:c r="A116" s="1" t="str">
        <x:v>O0111</x:v>
      </x:c>
      <x:c r="B116" s="1" t="str">
        <x:v>Simulated Ahmedabad Management Institute 111</x:v>
      </x:c>
      <x:c r="C116" s="1" t="str">
        <x:v>West</x:v>
      </x:c>
      <x:c r="D116" s="1" t="str">
        <x:v>Prospect Identified</x:v>
      </x:c>
      <x:c r="E116" s="1" t="str">
        <x:v>Open</x:v>
      </x:c>
      <x:c r="F116" s="7" t="n">
        <x:v>132000</x:v>
      </x:c>
      <x:c r="G116" s="8" t="d">
        <x:v>2025-12-06T00:00:00.000Z</x:v>
      </x:c>
      <x:c r="H116" s="8" t="d">
        <x:v>2026-04-07T00:00:00.000Z</x:v>
      </x:c>
      <x:c r="I116" s="8"/>
      <x:c r="J116" s="7" t="n">
        <x:v>0</x:v>
      </x:c>
      <x:c r="K116" s="1" t="n">
        <x:v>47.5</x:v>
      </x:c>
      <x:c r="L116" s="1" t="n">
        <x:v>1</x:v>
      </x:c>
      <x:c r="M116" s="1" t="n">
        <x:v>298</x:v>
      </x:c>
      <x:c r="N116" s="1"/>
      <x:c r="O116" s="1"/>
      <x:c r="P116" s="1"/>
      <x:c r="Q116" s="1"/>
    </x:row>
    <x:row r="117" ht="22" customHeight="1">
      <x:c r="A117" s="1" t="str">
        <x:v>O0112</x:v>
      </x:c>
      <x:c r="B117" s="1" t="str">
        <x:v>Simulated Jaipur Management Institute 112</x:v>
      </x:c>
      <x:c r="C117" s="1" t="str">
        <x:v>West</x:v>
      </x:c>
      <x:c r="D117" s="1" t="str">
        <x:v>Initial Contact</x:v>
      </x:c>
      <x:c r="E117" s="1" t="str">
        <x:v>Open</x:v>
      </x:c>
      <x:c r="F117" s="7" t="n">
        <x:v>207000</x:v>
      </x:c>
      <x:c r="G117" s="8" t="d">
        <x:v>2025-11-11T00:00:00.000Z</x:v>
      </x:c>
      <x:c r="H117" s="8" t="d">
        <x:v>2026-02-11T00:00:00.000Z</x:v>
      </x:c>
      <x:c r="I117" s="8"/>
      <x:c r="J117" s="7" t="n">
        <x:v>0</x:v>
      </x:c>
      <x:c r="K117" s="1" t="n">
        <x:v>48.99</x:v>
      </x:c>
      <x:c r="L117" s="1" t="n">
        <x:v>1</x:v>
      </x:c>
      <x:c r="M117" s="1" t="n">
        <x:v>304</x:v>
      </x:c>
      <x:c r="N117" s="1"/>
      <x:c r="O117" s="1"/>
      <x:c r="P117" s="1"/>
      <x:c r="Q117" s="1"/>
    </x:row>
    <x:row r="118" ht="22" customHeight="1">
      <x:c r="A118" s="1" t="str">
        <x:v>O0113</x:v>
      </x:c>
      <x:c r="B118" s="1" t="str">
        <x:v>Simulated Bengaluru Engineering College 113</x:v>
      </x:c>
      <x:c r="C118" s="1" t="str">
        <x:v>South</x:v>
      </x:c>
      <x:c r="D118" s="1" t="str">
        <x:v>Initial Contact</x:v>
      </x:c>
      <x:c r="E118" s="1" t="str">
        <x:v>Open</x:v>
      </x:c>
      <x:c r="F118" s="7" t="n">
        <x:v>120000</x:v>
      </x:c>
      <x:c r="G118" s="8" t="d">
        <x:v>2026-05-09T00:00:00.000Z</x:v>
      </x:c>
      <x:c r="H118" s="8" t="d">
        <x:v>2026-08-23T00:00:00.000Z</x:v>
      </x:c>
      <x:c r="I118" s="8"/>
      <x:c r="J118" s="7" t="n">
        <x:v>0</x:v>
      </x:c>
      <x:c r="K118" s="1" t="n">
        <x:v>26.12</x:v>
      </x:c>
      <x:c r="L118" s="1" t="n">
        <x:v>1</x:v>
      </x:c>
      <x:c r="M118" s="1" t="n">
        <x:v>123</x:v>
      </x:c>
      <x:c r="N118" s="1"/>
      <x:c r="O118" s="1"/>
      <x:c r="P118" s="1"/>
      <x:c r="Q118" s="1"/>
    </x:row>
    <x:row r="119" ht="22" customHeight="1">
      <x:c r="A119" s="1" t="str">
        <x:v>O0114</x:v>
      </x:c>
      <x:c r="B119" s="1" t="str">
        <x:v>Simulated Chennai Arts and Science College 114</x:v>
      </x:c>
      <x:c r="C119" s="1" t="str">
        <x:v>South</x:v>
      </x:c>
      <x:c r="D119" s="1" t="str">
        <x:v>Initial Contact</x:v>
      </x:c>
      <x:c r="E119" s="1" t="str">
        <x:v>Open</x:v>
      </x:c>
      <x:c r="F119" s="7" t="n">
        <x:v>361000</x:v>
      </x:c>
      <x:c r="G119" s="8" t="d">
        <x:v>2025-11-01T00:00:00.000Z</x:v>
      </x:c>
      <x:c r="H119" s="8" t="d">
        <x:v>2026-01-25T00:00:00.000Z</x:v>
      </x:c>
      <x:c r="I119" s="8"/>
      <x:c r="J119" s="7" t="n">
        <x:v>0</x:v>
      </x:c>
      <x:c r="K119" s="1" t="n">
        <x:v>53.64</x:v>
      </x:c>
      <x:c r="L119" s="1" t="n">
        <x:v>1</x:v>
      </x:c>
      <x:c r="M119" s="1" t="n">
        <x:v>298</x:v>
      </x:c>
      <x:c r="N119" s="1"/>
      <x:c r="O119" s="1"/>
      <x:c r="P119" s="1"/>
      <x:c r="Q119" s="1"/>
    </x:row>
    <x:row r="120" ht="22" customHeight="1">
      <x:c r="A120" s="1" t="str">
        <x:v>O0115</x:v>
      </x:c>
      <x:c r="B120" s="1" t="str">
        <x:v>Simulated Hyderabad Engineering College 115</x:v>
      </x:c>
      <x:c r="C120" s="1" t="str">
        <x:v>South</x:v>
      </x:c>
      <x:c r="D120" s="1" t="str">
        <x:v>Closed Lost</x:v>
      </x:c>
      <x:c r="E120" s="1" t="str">
        <x:v>Lost</x:v>
      </x:c>
      <x:c r="F120" s="7" t="n">
        <x:v>361000</x:v>
      </x:c>
      <x:c r="G120" s="8" t="d">
        <x:v>2026-07-09T00:00:00.000Z</x:v>
      </x:c>
      <x:c r="H120" s="8" t="d">
        <x:v>2026-10-15T00:00:00.000Z</x:v>
      </x:c>
      <x:c r="I120" s="8" t="d">
        <x:v>2026-07-28T00:00:00.000Z</x:v>
      </x:c>
      <x:c r="J120" s="7" t="n">
        <x:v>0</x:v>
      </x:c>
      <x:c r="K120" s="1" t="n">
        <x:v>0</x:v>
      </x:c>
      <x:c r="L120" s="1" t="n">
        <x:v>0</x:v>
      </x:c>
      <x:c r="M120" s="1" t="n">
        <x:v>64</x:v>
      </x:c>
      <x:c r="N120" s="1"/>
      <x:c r="O120" s="1"/>
      <x:c r="P120" s="1"/>
      <x:c r="Q120" s="1"/>
    </x:row>
    <x:row r="121" ht="22" customHeight="1">
      <x:c r="A121" s="1" t="str">
        <x:v>O0116</x:v>
      </x:c>
      <x:c r="B121" s="1" t="str">
        <x:v>Simulated Kolkata University 116</x:v>
      </x:c>
      <x:c r="C121" s="1" t="str">
        <x:v>East</x:v>
      </x:c>
      <x:c r="D121" s="1" t="str">
        <x:v>Closed Lost</x:v>
      </x:c>
      <x:c r="E121" s="1" t="str">
        <x:v>Lost</x:v>
      </x:c>
      <x:c r="F121" s="7" t="n">
        <x:v>602000</x:v>
      </x:c>
      <x:c r="G121" s="8" t="d">
        <x:v>2026-05-10T00:00:00.000Z</x:v>
      </x:c>
      <x:c r="H121" s="8" t="d">
        <x:v>2026-08-31T00:00:00.000Z</x:v>
      </x:c>
      <x:c r="I121" s="8" t="d">
        <x:v>2026-07-13T00:00:00.000Z</x:v>
      </x:c>
      <x:c r="J121" s="7" t="n">
        <x:v>0</x:v>
      </x:c>
      <x:c r="K121" s="1" t="n">
        <x:v>0</x:v>
      </x:c>
      <x:c r="L121" s="1" t="n">
        <x:v>0</x:v>
      </x:c>
      <x:c r="M121" s="1" t="n">
        <x:v>79</x:v>
      </x:c>
      <x:c r="N121" s="1"/>
      <x:c r="O121" s="1"/>
      <x:c r="P121" s="1"/>
      <x:c r="Q121" s="1"/>
    </x:row>
    <x:row r="122" ht="22" customHeight="1">
      <x:c r="A122" s="1" t="str">
        <x:v>O0117</x:v>
      </x:c>
      <x:c r="B122" s="1" t="str">
        <x:v>Simulated Bhubaneswar Arts and Science College 117</x:v>
      </x:c>
      <x:c r="C122" s="1" t="str">
        <x:v>East</x:v>
      </x:c>
      <x:c r="D122" s="1" t="str">
        <x:v>Initial Contact</x:v>
      </x:c>
      <x:c r="E122" s="1" t="str">
        <x:v>Open</x:v>
      </x:c>
      <x:c r="F122" s="7" t="n">
        <x:v>344000</x:v>
      </x:c>
      <x:c r="G122" s="8" t="d">
        <x:v>2026-04-26T00:00:00.000Z</x:v>
      </x:c>
      <x:c r="H122" s="8" t="d">
        <x:v>2026-09-08T00:00:00.000Z</x:v>
      </x:c>
      <x:c r="I122" s="8"/>
      <x:c r="J122" s="7" t="n">
        <x:v>0</x:v>
      </x:c>
      <x:c r="K122" s="1" t="n">
        <x:v>54.07</x:v>
      </x:c>
      <x:c r="L122" s="1" t="n">
        <x:v>1</x:v>
      </x:c>
      <x:c r="M122" s="1" t="n">
        <x:v>105</x:v>
      </x:c>
      <x:c r="N122" s="1"/>
      <x:c r="O122" s="1"/>
      <x:c r="P122" s="1"/>
      <x:c r="Q122" s="1"/>
    </x:row>
    <x:row r="123" ht="22" customHeight="1">
      <x:c r="A123" s="1" t="str">
        <x:v>O0118</x:v>
      </x:c>
      <x:c r="B123" s="1" t="str">
        <x:v>Simulated Patna Arts and Science College 118</x:v>
      </x:c>
      <x:c r="C123" s="1" t="str">
        <x:v>East</x:v>
      </x:c>
      <x:c r="D123" s="1" t="str">
        <x:v>Prospect Identified</x:v>
      </x:c>
      <x:c r="E123" s="1" t="str">
        <x:v>Open</x:v>
      </x:c>
      <x:c r="F123" s="7" t="n">
        <x:v>338000</x:v>
      </x:c>
      <x:c r="G123" s="8" t="d">
        <x:v>2026-04-10T00:00:00.000Z</x:v>
      </x:c>
      <x:c r="H123" s="8" t="d">
        <x:v>2026-08-07T00:00:00.000Z</x:v>
      </x:c>
      <x:c r="I123" s="8"/>
      <x:c r="J123" s="7" t="n">
        <x:v>0</x:v>
      </x:c>
      <x:c r="K123" s="1" t="n">
        <x:v>50.83</x:v>
      </x:c>
      <x:c r="L123" s="1" t="n">
        <x:v>0</x:v>
      </x:c>
      <x:c r="M123" s="1" t="n">
        <x:v>173</x:v>
      </x:c>
      <x:c r="N123" s="1"/>
      <x:c r="O123" s="1"/>
      <x:c r="P123" s="1"/>
      <x:c r="Q123" s="1"/>
    </x:row>
    <x:row r="124" ht="22" customHeight="1">
      <x:c r="A124" s="1" t="str">
        <x:v>O0119</x:v>
      </x:c>
      <x:c r="B124" s="1" t="str">
        <x:v>Simulated Guwahati University 119</x:v>
      </x:c>
      <x:c r="C124" s="1" t="str">
        <x:v>Northeast</x:v>
      </x:c>
      <x:c r="D124" s="1" t="str">
        <x:v>Prospect Identified</x:v>
      </x:c>
      <x:c r="E124" s="1" t="str">
        <x:v>Open</x:v>
      </x:c>
      <x:c r="F124" s="7" t="n">
        <x:v>341000</x:v>
      </x:c>
      <x:c r="G124" s="8" t="d">
        <x:v>2026-06-08T00:00:00.000Z</x:v>
      </x:c>
      <x:c r="H124" s="8" t="d">
        <x:v>2026-11-02T00:00:00.000Z</x:v>
      </x:c>
      <x:c r="I124" s="8"/>
      <x:c r="J124" s="7" t="n">
        <x:v>0</x:v>
      </x:c>
      <x:c r="K124" s="1" t="n">
        <x:v>52.9</x:v>
      </x:c>
      <x:c r="L124" s="1" t="n">
        <x:v>1</x:v>
      </x:c>
      <x:c r="M124" s="1" t="n">
        <x:v>114</x:v>
      </x:c>
      <x:c r="N124" s="1"/>
      <x:c r="O124" s="1"/>
      <x:c r="P124" s="1"/>
      <x:c r="Q124" s="1"/>
    </x:row>
    <x:row r="125" ht="22" customHeight="1">
      <x:c r="A125" s="1" t="str">
        <x:v>O0120</x:v>
      </x:c>
      <x:c r="B125" s="1" t="str">
        <x:v>Simulated Indore University 120</x:v>
      </x:c>
      <x:c r="C125" s="1" t="str">
        <x:v>Central</x:v>
      </x:c>
      <x:c r="D125" s="1" t="str">
        <x:v>Meeting Scheduled</x:v>
      </x:c>
      <x:c r="E125" s="1" t="str">
        <x:v>Open</x:v>
      </x:c>
      <x:c r="F125" s="7" t="n">
        <x:v>151000</x:v>
      </x:c>
      <x:c r="G125" s="8" t="d">
        <x:v>2026-08-24T00:00:00.000Z</x:v>
      </x:c>
      <x:c r="H125" s="8" t="d">
        <x:v>2026-12-10T00:00:00.000Z</x:v>
      </x:c>
      <x:c r="I125" s="8"/>
      <x:c r="J125" s="7" t="n">
        <x:v>0</x:v>
      </x:c>
      <x:c r="K125" s="1" t="n">
        <x:v>34.4</x:v>
      </x:c>
      <x:c r="L125" s="1" t="n">
        <x:v>1</x:v>
      </x:c>
      <x:c r="M125" s="1" t="n">
        <x:v>0</x:v>
      </x:c>
      <x:c r="N125" s="1"/>
      <x:c r="O125" s="1"/>
      <x:c r="P125" s="1"/>
      <x:c r="Q125" s="1"/>
    </x:row>
    <x:row r="126" ht="22" customHeight="1">
      <x:c r="A126" s="1" t="str">
        <x:v>O0121</x:v>
      </x:c>
      <x:c r="B126" s="1" t="str">
        <x:v>Simulated New Delhi Management Institute 121</x:v>
      </x:c>
      <x:c r="C126" s="1" t="str">
        <x:v>North</x:v>
      </x:c>
      <x:c r="D126" s="1" t="str">
        <x:v>Prospect Identified</x:v>
      </x:c>
      <x:c r="E126" s="1" t="str">
        <x:v>Open</x:v>
      </x:c>
      <x:c r="F126" s="7" t="n">
        <x:v>116000</x:v>
      </x:c>
      <x:c r="G126" s="8" t="d">
        <x:v>2026-05-02T00:00:00.000Z</x:v>
      </x:c>
      <x:c r="H126" s="8" t="d">
        <x:v>2026-08-28T00:00:00.000Z</x:v>
      </x:c>
      <x:c r="I126" s="8"/>
      <x:c r="J126" s="7" t="n">
        <x:v>0</x:v>
      </x:c>
      <x:c r="K126" s="1" t="n">
        <x:v>28.93</x:v>
      </x:c>
      <x:c r="L126" s="1" t="n">
        <x:v>1</x:v>
      </x:c>
      <x:c r="M126" s="1" t="n">
        <x:v>151</x:v>
      </x:c>
      <x:c r="N126" s="1"/>
      <x:c r="O126" s="1"/>
      <x:c r="P126" s="1"/>
      <x:c r="Q126" s="1"/>
    </x:row>
    <x:row r="127" ht="22" customHeight="1">
      <x:c r="A127" s="1" t="str">
        <x:v>O0122</x:v>
      </x:c>
      <x:c r="B127" s="1" t="str">
        <x:v>Simulated Noida University 122</x:v>
      </x:c>
      <x:c r="C127" s="1" t="str">
        <x:v>North</x:v>
      </x:c>
      <x:c r="D127" s="1" t="str">
        <x:v>Proposal Sent</x:v>
      </x:c>
      <x:c r="E127" s="1" t="str">
        <x:v>Open</x:v>
      </x:c>
      <x:c r="F127" s="7" t="n">
        <x:v>688000</x:v>
      </x:c>
      <x:c r="G127" s="8" t="d">
        <x:v>2026-08-17T00:00:00.000Z</x:v>
      </x:c>
      <x:c r="H127" s="8" t="d">
        <x:v>2026-12-02T00:00:00.000Z</x:v>
      </x:c>
      <x:c r="I127" s="8"/>
      <x:c r="J127" s="7" t="n">
        <x:v>0</x:v>
      </x:c>
      <x:c r="K127" s="1" t="n">
        <x:v>68.27</x:v>
      </x:c>
      <x:c r="L127" s="1" t="n">
        <x:v>0</x:v>
      </x:c>
      <x:c r="M127" s="1" t="n">
        <x:v>2</x:v>
      </x:c>
      <x:c r="N127" s="1"/>
      <x:c r="O127" s="1"/>
      <x:c r="P127" s="1"/>
      <x:c r="Q127" s="1"/>
    </x:row>
    <x:row r="128" ht="22" customHeight="1">
      <x:c r="A128" s="1" t="str">
        <x:v>O0123</x:v>
      </x:c>
      <x:c r="B128" s="1" t="str">
        <x:v>Simulated Gurugram Engineering College 123</x:v>
      </x:c>
      <x:c r="C128" s="1" t="str">
        <x:v>North</x:v>
      </x:c>
      <x:c r="D128" s="1" t="str">
        <x:v>Closed Won</x:v>
      </x:c>
      <x:c r="E128" s="1" t="str">
        <x:v>Won</x:v>
      </x:c>
      <x:c r="F128" s="7" t="n">
        <x:v>240000</x:v>
      </x:c>
      <x:c r="G128" s="8" t="d">
        <x:v>2026-03-20T00:00:00.000Z</x:v>
      </x:c>
      <x:c r="H128" s="8" t="d">
        <x:v>2026-08-10T00:00:00.000Z</x:v>
      </x:c>
      <x:c r="I128" s="8" t="d">
        <x:v>2026-07-01T00:00:00.000Z</x:v>
      </x:c>
      <x:c r="J128" s="7" t="n">
        <x:v>60493.15</x:v>
      </x:c>
      <x:c r="K128" s="1" t="n">
        <x:v>0</x:v>
      </x:c>
      <x:c r="L128" s="1" t="n">
        <x:v>0</x:v>
      </x:c>
      <x:c r="M128" s="1" t="n">
        <x:v>91</x:v>
      </x:c>
      <x:c r="N128" s="1"/>
      <x:c r="O128" s="1"/>
      <x:c r="P128" s="1"/>
      <x:c r="Q128" s="1"/>
    </x:row>
    <x:row r="129" ht="22" customHeight="1">
      <x:c r="A129" s="1" t="str">
        <x:v>O0124</x:v>
      </x:c>
      <x:c r="B129" s="1" t="str">
        <x:v>Simulated Ludhiana Engineering College 124</x:v>
      </x:c>
      <x:c r="C129" s="1" t="str">
        <x:v>North</x:v>
      </x:c>
      <x:c r="D129" s="1" t="str">
        <x:v>Meeting Scheduled</x:v>
      </x:c>
      <x:c r="E129" s="1" t="str">
        <x:v>Open</x:v>
      </x:c>
      <x:c r="F129" s="7" t="n">
        <x:v>148000</x:v>
      </x:c>
      <x:c r="G129" s="8" t="d">
        <x:v>2025-12-31T00:00:00.000Z</x:v>
      </x:c>
      <x:c r="H129" s="8" t="d">
        <x:v>2026-04-01T00:00:00.000Z</x:v>
      </x:c>
      <x:c r="I129" s="8"/>
      <x:c r="J129" s="7" t="n">
        <x:v>0</x:v>
      </x:c>
      <x:c r="K129" s="1" t="n">
        <x:v>50.18</x:v>
      </x:c>
      <x:c r="L129" s="1" t="n">
        <x:v>1</x:v>
      </x:c>
      <x:c r="M129" s="1" t="n">
        <x:v>219</x:v>
      </x:c>
      <x:c r="N129" s="1"/>
      <x:c r="O129" s="1"/>
      <x:c r="P129" s="1"/>
      <x:c r="Q129" s="1"/>
    </x:row>
    <x:row r="130" ht="22" customHeight="1">
      <x:c r="A130" s="1" t="str">
        <x:v>O0125</x:v>
      </x:c>
      <x:c r="B130" s="1" t="str">
        <x:v>Simulated Pune Engineering College 125</x:v>
      </x:c>
      <x:c r="C130" s="1" t="str">
        <x:v>West</x:v>
      </x:c>
      <x:c r="D130" s="1" t="str">
        <x:v>Closed Lost</x:v>
      </x:c>
      <x:c r="E130" s="1" t="str">
        <x:v>Lost</x:v>
      </x:c>
      <x:c r="F130" s="7" t="n">
        <x:v>308000</x:v>
      </x:c>
      <x:c r="G130" s="8" t="d">
        <x:v>2026-06-16T00:00:00.000Z</x:v>
      </x:c>
      <x:c r="H130" s="8" t="d">
        <x:v>2026-10-01T00:00:00.000Z</x:v>
      </x:c>
      <x:c r="I130" s="8" t="d">
        <x:v>2026-08-24T00:00:00.000Z</x:v>
      </x:c>
      <x:c r="J130" s="7" t="n">
        <x:v>0</x:v>
      </x:c>
      <x:c r="K130" s="1" t="n">
        <x:v>0</x:v>
      </x:c>
      <x:c r="L130" s="1" t="n">
        <x:v>0</x:v>
      </x:c>
      <x:c r="M130" s="1" t="n">
        <x:v>37</x:v>
      </x:c>
      <x:c r="N130" s="1"/>
      <x:c r="O130" s="1"/>
      <x:c r="P130" s="1"/>
      <x:c r="Q130" s="1"/>
    </x:row>
    <x:row r="131" ht="22" customHeight="1">
      <x:c r="A131" s="1" t="str">
        <x:v>O0126</x:v>
      </x:c>
      <x:c r="B131" s="1" t="str">
        <x:v>Simulated Ahmedabad Engineering College 126</x:v>
      </x:c>
      <x:c r="C131" s="1" t="str">
        <x:v>West</x:v>
      </x:c>
      <x:c r="D131" s="1" t="str">
        <x:v>Prospect Identified</x:v>
      </x:c>
      <x:c r="E131" s="1" t="str">
        <x:v>Open</x:v>
      </x:c>
      <x:c r="F131" s="7" t="n">
        <x:v>143000</x:v>
      </x:c>
      <x:c r="G131" s="8" t="d">
        <x:v>2026-05-02T00:00:00.000Z</x:v>
      </x:c>
      <x:c r="H131" s="8" t="d">
        <x:v>2026-08-08T00:00:00.000Z</x:v>
      </x:c>
      <x:c r="I131" s="8"/>
      <x:c r="J131" s="7" t="n">
        <x:v>0</x:v>
      </x:c>
      <x:c r="K131" s="1" t="n">
        <x:v>51.81</x:v>
      </x:c>
      <x:c r="L131" s="1" t="n">
        <x:v>0</x:v>
      </x:c>
      <x:c r="M131" s="1" t="n">
        <x:v>151</x:v>
      </x:c>
      <x:c r="N131" s="1"/>
      <x:c r="O131" s="1"/>
      <x:c r="P131" s="1"/>
      <x:c r="Q131" s="1"/>
    </x:row>
    <x:row r="132" ht="22" customHeight="1">
      <x:c r="A132" s="1" t="str">
        <x:v>O0127</x:v>
      </x:c>
      <x:c r="B132" s="1" t="str">
        <x:v>Simulated Jaipur Management Institute 127</x:v>
      </x:c>
      <x:c r="C132" s="1" t="str">
        <x:v>West</x:v>
      </x:c>
      <x:c r="D132" s="1" t="str">
        <x:v>Prospect Identified</x:v>
      </x:c>
      <x:c r="E132" s="1" t="str">
        <x:v>Open</x:v>
      </x:c>
      <x:c r="F132" s="7" t="n">
        <x:v>92000</x:v>
      </x:c>
      <x:c r="G132" s="8" t="d">
        <x:v>2025-11-28T00:00:00.000Z</x:v>
      </x:c>
      <x:c r="H132" s="8" t="d">
        <x:v>2026-03-24T00:00:00.000Z</x:v>
      </x:c>
      <x:c r="I132" s="8"/>
      <x:c r="J132" s="7" t="n">
        <x:v>0</x:v>
      </x:c>
      <x:c r="K132" s="1" t="n">
        <x:v>40.74</x:v>
      </x:c>
      <x:c r="L132" s="1" t="n">
        <x:v>1</x:v>
      </x:c>
      <x:c r="M132" s="1" t="n">
        <x:v>306</x:v>
      </x:c>
      <x:c r="N132" s="1"/>
      <x:c r="O132" s="1"/>
      <x:c r="P132" s="1"/>
      <x:c r="Q132" s="1"/>
    </x:row>
    <x:row r="133" ht="22" customHeight="1">
      <x:c r="A133" s="1" t="str">
        <x:v>O0128</x:v>
      </x:c>
      <x:c r="B133" s="1" t="str">
        <x:v>Simulated Bengaluru Management Institute 128</x:v>
      </x:c>
      <x:c r="C133" s="1" t="str">
        <x:v>South</x:v>
      </x:c>
      <x:c r="D133" s="1" t="str">
        <x:v>Negotiation</x:v>
      </x:c>
      <x:c r="E133" s="1" t="str">
        <x:v>Open</x:v>
      </x:c>
      <x:c r="F133" s="7" t="n">
        <x:v>263000</x:v>
      </x:c>
      <x:c r="G133" s="8" t="d">
        <x:v>2025-10-12T00:00:00.000Z</x:v>
      </x:c>
      <x:c r="H133" s="8" t="d">
        <x:v>2026-01-02T00:00:00.000Z</x:v>
      </x:c>
      <x:c r="I133" s="8"/>
      <x:c r="J133" s="7" t="n">
        <x:v>0</x:v>
      </x:c>
      <x:c r="K133" s="1" t="n">
        <x:v>65.54</x:v>
      </x:c>
      <x:c r="L133" s="1" t="n">
        <x:v>0</x:v>
      </x:c>
      <x:c r="M133" s="1" t="n">
        <x:v>283</x:v>
      </x:c>
      <x:c r="N133" s="1"/>
      <x:c r="O133" s="1"/>
      <x:c r="P133" s="1"/>
      <x:c r="Q133" s="1"/>
    </x:row>
    <x:row r="134" ht="22" customHeight="1">
      <x:c r="A134" s="1" t="str">
        <x:v>O0129</x:v>
      </x:c>
      <x:c r="B134" s="1" t="str">
        <x:v>Simulated Chennai Management Institute 129</x:v>
      </x:c>
      <x:c r="C134" s="1" t="str">
        <x:v>South</x:v>
      </x:c>
      <x:c r="D134" s="1" t="str">
        <x:v>Prospect Identified</x:v>
      </x:c>
      <x:c r="E134" s="1" t="str">
        <x:v>Open</x:v>
      </x:c>
      <x:c r="F134" s="7" t="n">
        <x:v>321000</x:v>
      </x:c>
      <x:c r="G134" s="8" t="d">
        <x:v>2026-09-19T00:00:00.000Z</x:v>
      </x:c>
      <x:c r="H134" s="8" t="d">
        <x:v>2027-01-14T00:00:00.000Z</x:v>
      </x:c>
      <x:c r="I134" s="8"/>
      <x:c r="J134" s="7" t="n">
        <x:v>0</x:v>
      </x:c>
      <x:c r="K134" s="1" t="n">
        <x:v>54.19</x:v>
      </x:c>
      <x:c r="L134" s="1" t="n">
        <x:v>0</x:v>
      </x:c>
      <x:c r="M134" s="1" t="n">
        <x:v>11</x:v>
      </x:c>
      <x:c r="N134" s="1"/>
      <x:c r="O134" s="1"/>
      <x:c r="P134" s="1"/>
      <x:c r="Q134" s="1"/>
    </x:row>
    <x:row r="135" ht="22" customHeight="1">
      <x:c r="A135" s="1" t="str">
        <x:v>O0130</x:v>
      </x:c>
      <x:c r="B135" s="1" t="str">
        <x:v>Simulated Hyderabad University 130</x:v>
      </x:c>
      <x:c r="C135" s="1" t="str">
        <x:v>South</x:v>
      </x:c>
      <x:c r="D135" s="1" t="str">
        <x:v>Meeting Scheduled</x:v>
      </x:c>
      <x:c r="E135" s="1" t="str">
        <x:v>Open</x:v>
      </x:c>
      <x:c r="F135" s="7" t="n">
        <x:v>791000</x:v>
      </x:c>
      <x:c r="G135" s="8" t="d">
        <x:v>2025-12-23T00:00:00.000Z</x:v>
      </x:c>
      <x:c r="H135" s="8" t="d">
        <x:v>2026-04-20T00:00:00.000Z</x:v>
      </x:c>
      <x:c r="I135" s="8"/>
      <x:c r="J135" s="7" t="n">
        <x:v>0</x:v>
      </x:c>
      <x:c r="K135" s="1" t="n">
        <x:v>65.34</x:v>
      </x:c>
      <x:c r="L135" s="1" t="n">
        <x:v>1</x:v>
      </x:c>
      <x:c r="M135" s="1" t="n">
        <x:v>228</x:v>
      </x:c>
      <x:c r="N135" s="1"/>
      <x:c r="O135" s="1"/>
      <x:c r="P135" s="1"/>
      <x:c r="Q135" s="1"/>
    </x:row>
    <x:row r="136" ht="22" customHeight="1">
      <x:c r="A136" s="1" t="str">
        <x:v>O0131</x:v>
      </x:c>
      <x:c r="B136" s="1" t="str">
        <x:v>Simulated Kolkata Engineering College 131</x:v>
      </x:c>
      <x:c r="C136" s="1" t="str">
        <x:v>East</x:v>
      </x:c>
      <x:c r="D136" s="1" t="str">
        <x:v>Prospect Identified</x:v>
      </x:c>
      <x:c r="E136" s="1" t="str">
        <x:v>Open</x:v>
      </x:c>
      <x:c r="F136" s="7" t="n">
        <x:v>110000</x:v>
      </x:c>
      <x:c r="G136" s="8" t="d">
        <x:v>2026-09-25T00:00:00.000Z</x:v>
      </x:c>
      <x:c r="H136" s="8" t="d">
        <x:v>2027-01-08T00:00:00.000Z</x:v>
      </x:c>
      <x:c r="I136" s="8"/>
      <x:c r="J136" s="7" t="n">
        <x:v>0</x:v>
      </x:c>
      <x:c r="K136" s="1" t="n">
        <x:v>42.52</x:v>
      </x:c>
      <x:c r="L136" s="1" t="n">
        <x:v>0</x:v>
      </x:c>
      <x:c r="M136" s="1" t="n">
        <x:v>5</x:v>
      </x:c>
      <x:c r="N136" s="1"/>
      <x:c r="O136" s="1"/>
      <x:c r="P136" s="1"/>
      <x:c r="Q136" s="1"/>
    </x:row>
    <x:row r="137" ht="22" customHeight="1">
      <x:c r="A137" s="1" t="str">
        <x:v>O0132</x:v>
      </x:c>
      <x:c r="B137" s="1" t="str">
        <x:v>Simulated Bhubaneswar Arts and Science College 132</x:v>
      </x:c>
      <x:c r="C137" s="1" t="str">
        <x:v>East</x:v>
      </x:c>
      <x:c r="D137" s="1" t="str">
        <x:v>Proposal Sent</x:v>
      </x:c>
      <x:c r="E137" s="1" t="str">
        <x:v>Open</x:v>
      </x:c>
      <x:c r="F137" s="7" t="n">
        <x:v>224000</x:v>
      </x:c>
      <x:c r="G137" s="8" t="d">
        <x:v>2026-04-18T00:00:00.000Z</x:v>
      </x:c>
      <x:c r="H137" s="8" t="d">
        <x:v>2026-08-09T00:00:00.000Z</x:v>
      </x:c>
      <x:c r="I137" s="8"/>
      <x:c r="J137" s="7" t="n">
        <x:v>0</x:v>
      </x:c>
      <x:c r="K137" s="1" t="n">
        <x:v>56.62</x:v>
      </x:c>
      <x:c r="L137" s="1" t="n">
        <x:v>0</x:v>
      </x:c>
      <x:c r="M137" s="1" t="n">
        <x:v>85</x:v>
      </x:c>
      <x:c r="N137" s="1"/>
      <x:c r="O137" s="1"/>
      <x:c r="P137" s="1"/>
      <x:c r="Q137" s="1"/>
    </x:row>
    <x:row r="138" ht="22" customHeight="1">
      <x:c r="A138" s="1" t="str">
        <x:v>O0133</x:v>
      </x:c>
      <x:c r="B138" s="1" t="str">
        <x:v>Simulated Patna Arts and Science College 133</x:v>
      </x:c>
      <x:c r="C138" s="1" t="str">
        <x:v>East</x:v>
      </x:c>
      <x:c r="D138" s="1" t="str">
        <x:v>Prospect Identified</x:v>
      </x:c>
      <x:c r="E138" s="1" t="str">
        <x:v>Open</x:v>
      </x:c>
      <x:c r="F138" s="7" t="n">
        <x:v>131000</x:v>
      </x:c>
      <x:c r="G138" s="8" t="d">
        <x:v>2026-09-07T00:00:00.000Z</x:v>
      </x:c>
      <x:c r="H138" s="8" t="d">
        <x:v>2026-12-01T00:00:00.000Z</x:v>
      </x:c>
      <x:c r="I138" s="8"/>
      <x:c r="J138" s="7" t="n">
        <x:v>0</x:v>
      </x:c>
      <x:c r="K138" s="1" t="n">
        <x:v>37.52</x:v>
      </x:c>
      <x:c r="L138" s="1" t="n">
        <x:v>0</x:v>
      </x:c>
      <x:c r="M138" s="1" t="n">
        <x:v>23</x:v>
      </x:c>
      <x:c r="N138" s="1"/>
      <x:c r="O138" s="1"/>
      <x:c r="P138" s="1"/>
      <x:c r="Q138" s="1"/>
    </x:row>
    <x:row r="139" ht="22" customHeight="1">
      <x:c r="A139" s="1" t="str">
        <x:v>O0134</x:v>
      </x:c>
      <x:c r="B139" s="1" t="str">
        <x:v>Simulated Guwahati Management Institute 134</x:v>
      </x:c>
      <x:c r="C139" s="1" t="str">
        <x:v>Northeast</x:v>
      </x:c>
      <x:c r="D139" s="1" t="str">
        <x:v>Prospect Identified</x:v>
      </x:c>
      <x:c r="E139" s="1" t="str">
        <x:v>Open</x:v>
      </x:c>
      <x:c r="F139" s="7" t="n">
        <x:v>303000</x:v>
      </x:c>
      <x:c r="G139" s="8" t="d">
        <x:v>2026-09-14T00:00:00.000Z</x:v>
      </x:c>
      <x:c r="H139" s="8" t="d">
        <x:v>2027-01-30T00:00:00.000Z</x:v>
      </x:c>
      <x:c r="I139" s="8"/>
      <x:c r="J139" s="7" t="n">
        <x:v>0</x:v>
      </x:c>
      <x:c r="K139" s="1" t="n">
        <x:v>50.84</x:v>
      </x:c>
      <x:c r="L139" s="1" t="n">
        <x:v>0</x:v>
      </x:c>
      <x:c r="M139" s="1" t="n">
        <x:v>16</x:v>
      </x:c>
      <x:c r="N139" s="1"/>
      <x:c r="O139" s="1"/>
      <x:c r="P139" s="1"/>
      <x:c r="Q139" s="1"/>
    </x:row>
    <x:row r="140" ht="22" customHeight="1">
      <x:c r="A140" s="1" t="str">
        <x:v>O0135</x:v>
      </x:c>
      <x:c r="B140" s="1" t="str">
        <x:v>Simulated Indore Management Institute 135</x:v>
      </x:c>
      <x:c r="C140" s="1" t="str">
        <x:v>Central</x:v>
      </x:c>
      <x:c r="D140" s="1" t="str">
        <x:v>Prospect Identified</x:v>
      </x:c>
      <x:c r="E140" s="1" t="str">
        <x:v>Open</x:v>
      </x:c>
      <x:c r="F140" s="7" t="n">
        <x:v>102000</x:v>
      </x:c>
      <x:c r="G140" s="8" t="d">
        <x:v>2026-09-27T00:00:00.000Z</x:v>
      </x:c>
      <x:c r="H140" s="8" t="d">
        <x:v>2027-01-07T00:00:00.000Z</x:v>
      </x:c>
      <x:c r="I140" s="8"/>
      <x:c r="J140" s="7" t="n">
        <x:v>0</x:v>
      </x:c>
      <x:c r="K140" s="1" t="n">
        <x:v>42.55</x:v>
      </x:c>
      <x:c r="L140" s="1" t="n">
        <x:v>0</x:v>
      </x:c>
      <x:c r="M140" s="1" t="n">
        <x:v>3</x:v>
      </x:c>
      <x:c r="N140" s="1"/>
      <x:c r="O140" s="1"/>
      <x:c r="P140" s="1"/>
      <x:c r="Q140" s="1"/>
    </x:row>
    <x:row r="141" ht="22" customHeight="1">
      <x:c r="A141" s="1" t="str">
        <x:v>O0136</x:v>
      </x:c>
      <x:c r="B141" s="1" t="str">
        <x:v>Simulated New Delhi Engineering College 136</x:v>
      </x:c>
      <x:c r="C141" s="1" t="str">
        <x:v>North</x:v>
      </x:c>
      <x:c r="D141" s="1" t="str">
        <x:v>Closed Lost</x:v>
      </x:c>
      <x:c r="E141" s="1" t="str">
        <x:v>Lost</x:v>
      </x:c>
      <x:c r="F141" s="7" t="n">
        <x:v>319000</x:v>
      </x:c>
      <x:c r="G141" s="8" t="d">
        <x:v>2026-07-04T00:00:00.000Z</x:v>
      </x:c>
      <x:c r="H141" s="8" t="d">
        <x:v>2026-10-12T00:00:00.000Z</x:v>
      </x:c>
      <x:c r="I141" s="8" t="d">
        <x:v>2026-09-26T00:00:00.000Z</x:v>
      </x:c>
      <x:c r="J141" s="7" t="n">
        <x:v>0</x:v>
      </x:c>
      <x:c r="K141" s="1" t="n">
        <x:v>0</x:v>
      </x:c>
      <x:c r="L141" s="1" t="n">
        <x:v>0</x:v>
      </x:c>
      <x:c r="M141" s="1" t="n">
        <x:v>4</x:v>
      </x:c>
      <x:c r="N141" s="1"/>
      <x:c r="O141" s="1"/>
      <x:c r="P141" s="1"/>
      <x:c r="Q141" s="1"/>
    </x:row>
    <x:row r="142" ht="22" customHeight="1">
      <x:c r="A142" s="1" t="str">
        <x:v>O0137</x:v>
      </x:c>
      <x:c r="B142" s="1" t="str">
        <x:v>Simulated Noida Arts and Science College 137</x:v>
      </x:c>
      <x:c r="C142" s="1" t="str">
        <x:v>North</x:v>
      </x:c>
      <x:c r="D142" s="1" t="str">
        <x:v>Closed Won</x:v>
      </x:c>
      <x:c r="E142" s="1" t="str">
        <x:v>Won</x:v>
      </x:c>
      <x:c r="F142" s="7" t="n">
        <x:v>121000</x:v>
      </x:c>
      <x:c r="G142" s="8" t="d">
        <x:v>2026-05-23T00:00:00.000Z</x:v>
      </x:c>
      <x:c r="H142" s="8" t="d">
        <x:v>2026-09-26T00:00:00.000Z</x:v>
      </x:c>
      <x:c r="I142" s="8" t="d">
        <x:v>2026-08-18T00:00:00.000Z</x:v>
      </x:c>
      <x:c r="J142" s="7" t="n">
        <x:v>14586.3</x:v>
      </x:c>
      <x:c r="K142" s="1" t="n">
        <x:v>0</x:v>
      </x:c>
      <x:c r="L142" s="1" t="n">
        <x:v>0</x:v>
      </x:c>
      <x:c r="M142" s="1" t="n">
        <x:v>43</x:v>
      </x:c>
      <x:c r="N142" s="1"/>
      <x:c r="O142" s="1"/>
      <x:c r="P142" s="1"/>
      <x:c r="Q142" s="1"/>
    </x:row>
    <x:row r="143" ht="22" customHeight="1">
      <x:c r="A143" s="1" t="str">
        <x:v>O0138</x:v>
      </x:c>
      <x:c r="B143" s="1" t="str">
        <x:v>Simulated Gurugram Management Institute 138</x:v>
      </x:c>
      <x:c r="C143" s="1" t="str">
        <x:v>North</x:v>
      </x:c>
      <x:c r="D143" s="1" t="str">
        <x:v>Closed Lost</x:v>
      </x:c>
      <x:c r="E143" s="1" t="str">
        <x:v>Lost</x:v>
      </x:c>
      <x:c r="F143" s="7" t="n">
        <x:v>181000</x:v>
      </x:c>
      <x:c r="G143" s="8" t="d">
        <x:v>2026-08-08T00:00:00.000Z</x:v>
      </x:c>
      <x:c r="H143" s="8" t="d">
        <x:v>2026-11-05T00:00:00.000Z</x:v>
      </x:c>
      <x:c r="I143" s="8" t="d">
        <x:v>2026-09-13T00:00:00.000Z</x:v>
      </x:c>
      <x:c r="J143" s="7" t="n">
        <x:v>0</x:v>
      </x:c>
      <x:c r="K143" s="1" t="n">
        <x:v>0</x:v>
      </x:c>
      <x:c r="L143" s="1" t="n">
        <x:v>0</x:v>
      </x:c>
      <x:c r="M143" s="1" t="n">
        <x:v>17</x:v>
      </x:c>
      <x:c r="N143" s="1"/>
      <x:c r="O143" s="1"/>
      <x:c r="P143" s="1"/>
      <x:c r="Q143" s="1"/>
    </x:row>
    <x:row r="144" ht="22" customHeight="1">
      <x:c r="A144" s="1" t="str">
        <x:v>O0139</x:v>
      </x:c>
      <x:c r="B144" s="1" t="str">
        <x:v>Simulated Ludhiana Engineering College 139</x:v>
      </x:c>
      <x:c r="C144" s="1" t="str">
        <x:v>North</x:v>
      </x:c>
      <x:c r="D144" s="1" t="str">
        <x:v>Qualified</x:v>
      </x:c>
      <x:c r="E144" s="1" t="str">
        <x:v>Open</x:v>
      </x:c>
      <x:c r="F144" s="7" t="n">
        <x:v>315000</x:v>
      </x:c>
      <x:c r="G144" s="8" t="d">
        <x:v>2025-11-20T00:00:00.000Z</x:v>
      </x:c>
      <x:c r="H144" s="8" t="d">
        <x:v>2026-02-20T00:00:00.000Z</x:v>
      </x:c>
      <x:c r="I144" s="8"/>
      <x:c r="J144" s="7" t="n">
        <x:v>0</x:v>
      </x:c>
      <x:c r="K144" s="1" t="n">
        <x:v>46.76</x:v>
      </x:c>
      <x:c r="L144" s="1" t="n">
        <x:v>1</x:v>
      </x:c>
      <x:c r="M144" s="1" t="n">
        <x:v>293</x:v>
      </x:c>
      <x:c r="N144" s="1"/>
      <x:c r="O144" s="1"/>
      <x:c r="P144" s="1"/>
      <x:c r="Q144" s="1"/>
    </x:row>
    <x:row r="145" ht="22" customHeight="1">
      <x:c r="A145" s="1" t="str">
        <x:v>O0140</x:v>
      </x:c>
      <x:c r="B145" s="1" t="str">
        <x:v>Simulated Pune University 140</x:v>
      </x:c>
      <x:c r="C145" s="1" t="str">
        <x:v>West</x:v>
      </x:c>
      <x:c r="D145" s="1" t="str">
        <x:v>Meeting Scheduled</x:v>
      </x:c>
      <x:c r="E145" s="1" t="str">
        <x:v>Open</x:v>
      </x:c>
      <x:c r="F145" s="7" t="n">
        <x:v>771000</x:v>
      </x:c>
      <x:c r="G145" s="8" t="d">
        <x:v>2025-11-13T00:00:00.000Z</x:v>
      </x:c>
      <x:c r="H145" s="8" t="d">
        <x:v>2026-03-21T00:00:00.000Z</x:v>
      </x:c>
      <x:c r="I145" s="8"/>
      <x:c r="J145" s="7" t="n">
        <x:v>0</x:v>
      </x:c>
      <x:c r="K145" s="1" t="n">
        <x:v>48.75</x:v>
      </x:c>
      <x:c r="L145" s="1" t="n">
        <x:v>1</x:v>
      </x:c>
      <x:c r="M145" s="1" t="n">
        <x:v>259</x:v>
      </x:c>
      <x:c r="N145" s="1"/>
      <x:c r="O145" s="1"/>
      <x:c r="P145" s="1"/>
      <x:c r="Q145" s="1"/>
    </x:row>
    <x:row r="146" ht="22" customHeight="1">
      <x:c r="A146" s="1" t="str">
        <x:v>O0141</x:v>
      </x:c>
      <x:c r="B146" s="1" t="str">
        <x:v>Simulated Ahmedabad Engineering College 141</x:v>
      </x:c>
      <x:c r="C146" s="1" t="str">
        <x:v>West</x:v>
      </x:c>
      <x:c r="D146" s="1" t="str">
        <x:v>Closed Lost</x:v>
      </x:c>
      <x:c r="E146" s="1" t="str">
        <x:v>Lost</x:v>
      </x:c>
      <x:c r="F146" s="7" t="n">
        <x:v>278000</x:v>
      </x:c>
      <x:c r="G146" s="8" t="d">
        <x:v>2026-02-07T00:00:00.000Z</x:v>
      </x:c>
      <x:c r="H146" s="8" t="d">
        <x:v>2026-06-07T00:00:00.000Z</x:v>
      </x:c>
      <x:c r="I146" s="8" t="d">
        <x:v>2026-03-17T00:00:00.000Z</x:v>
      </x:c>
      <x:c r="J146" s="7" t="n">
        <x:v>0</x:v>
      </x:c>
      <x:c r="K146" s="1" t="n">
        <x:v>0</x:v>
      </x:c>
      <x:c r="L146" s="1" t="n">
        <x:v>0</x:v>
      </x:c>
      <x:c r="M146" s="1" t="n">
        <x:v>197</x:v>
      </x:c>
      <x:c r="N146" s="1"/>
      <x:c r="O146" s="1"/>
      <x:c r="P146" s="1"/>
      <x:c r="Q146" s="1"/>
    </x:row>
    <x:row r="147" ht="22" customHeight="1">
      <x:c r="A147" s="1" t="str">
        <x:v>O0142</x:v>
      </x:c>
      <x:c r="B147" s="1" t="str">
        <x:v>Simulated Jaipur University 142</x:v>
      </x:c>
      <x:c r="C147" s="1" t="str">
        <x:v>West</x:v>
      </x:c>
      <x:c r="D147" s="1" t="str">
        <x:v>Prospect Identified</x:v>
      </x:c>
      <x:c r="E147" s="1" t="str">
        <x:v>Open</x:v>
      </x:c>
      <x:c r="F147" s="7" t="n">
        <x:v>261000</x:v>
      </x:c>
      <x:c r="G147" s="8" t="d">
        <x:v>2026-06-15T00:00:00.000Z</x:v>
      </x:c>
      <x:c r="H147" s="8" t="d">
        <x:v>2026-11-12T00:00:00.000Z</x:v>
      </x:c>
      <x:c r="I147" s="8"/>
      <x:c r="J147" s="7" t="n">
        <x:v>0</x:v>
      </x:c>
      <x:c r="K147" s="1" t="n">
        <x:v>45.87</x:v>
      </x:c>
      <x:c r="L147" s="1" t="n">
        <x:v>1</x:v>
      </x:c>
      <x:c r="M147" s="1" t="n">
        <x:v>107</x:v>
      </x:c>
      <x:c r="N147" s="1"/>
      <x:c r="O147" s="1"/>
      <x:c r="P147" s="1"/>
      <x:c r="Q147" s="1"/>
    </x:row>
    <x:row r="148" ht="22" customHeight="1">
      <x:c r="A148" s="1" t="str">
        <x:v>O0143</x:v>
      </x:c>
      <x:c r="B148" s="1" t="str">
        <x:v>Simulated Bengaluru Engineering College 143</x:v>
      </x:c>
      <x:c r="C148" s="1" t="str">
        <x:v>South</x:v>
      </x:c>
      <x:c r="D148" s="1" t="str">
        <x:v>Prospect Identified</x:v>
      </x:c>
      <x:c r="E148" s="1" t="str">
        <x:v>Open</x:v>
      </x:c>
      <x:c r="F148" s="7" t="n">
        <x:v>263000</x:v>
      </x:c>
      <x:c r="G148" s="8" t="d">
        <x:v>2026-09-21T00:00:00.000Z</x:v>
      </x:c>
      <x:c r="H148" s="8" t="d">
        <x:v>2027-01-08T00:00:00.000Z</x:v>
      </x:c>
      <x:c r="I148" s="8"/>
      <x:c r="J148" s="7" t="n">
        <x:v>0</x:v>
      </x:c>
      <x:c r="K148" s="1" t="n">
        <x:v>57.65</x:v>
      </x:c>
      <x:c r="L148" s="1" t="n">
        <x:v>0</x:v>
      </x:c>
      <x:c r="M148" s="1" t="n">
        <x:v>9</x:v>
      </x:c>
      <x:c r="N148" s="1"/>
      <x:c r="O148" s="1"/>
      <x:c r="P148" s="1"/>
      <x:c r="Q148" s="1"/>
    </x:row>
    <x:row r="149" ht="22" customHeight="1">
      <x:c r="A149" s="1" t="str">
        <x:v>O0144</x:v>
      </x:c>
      <x:c r="B149" s="1" t="str">
        <x:v>Simulated Chennai Arts and Science College 144</x:v>
      </x:c>
      <x:c r="C149" s="1" t="str">
        <x:v>South</x:v>
      </x:c>
      <x:c r="D149" s="1" t="str">
        <x:v>Closed Lost</x:v>
      </x:c>
      <x:c r="E149" s="1" t="str">
        <x:v>Lost</x:v>
      </x:c>
      <x:c r="F149" s="7" t="n">
        <x:v>353000</x:v>
      </x:c>
      <x:c r="G149" s="8" t="d">
        <x:v>2025-12-18T00:00:00.000Z</x:v>
      </x:c>
      <x:c r="H149" s="8" t="d">
        <x:v>2026-05-08T00:00:00.000Z</x:v>
      </x:c>
      <x:c r="I149" s="8" t="d">
        <x:v>2026-01-12T00:00:00.000Z</x:v>
      </x:c>
      <x:c r="J149" s="7" t="n">
        <x:v>0</x:v>
      </x:c>
      <x:c r="K149" s="1" t="n">
        <x:v>0</x:v>
      </x:c>
      <x:c r="L149" s="1" t="n">
        <x:v>0</x:v>
      </x:c>
      <x:c r="M149" s="1" t="n">
        <x:v>261</x:v>
      </x:c>
      <x:c r="N149" s="1"/>
      <x:c r="O149" s="1"/>
      <x:c r="P149" s="1"/>
      <x:c r="Q149" s="1"/>
    </x:row>
    <x:row r="150" ht="22" customHeight="1">
      <x:c r="A150" s="1" t="str">
        <x:v>O0145</x:v>
      </x:c>
      <x:c r="B150" s="1" t="str">
        <x:v>Simulated Hyderabad University 145</x:v>
      </x:c>
      <x:c r="C150" s="1" t="str">
        <x:v>South</x:v>
      </x:c>
      <x:c r="D150" s="1" t="str">
        <x:v>Meeting Scheduled</x:v>
      </x:c>
      <x:c r="E150" s="1" t="str">
        <x:v>Open</x:v>
      </x:c>
      <x:c r="F150" s="7" t="n">
        <x:v>584000</x:v>
      </x:c>
      <x:c r="G150" s="8" t="d">
        <x:v>2026-02-10T00:00:00.000Z</x:v>
      </x:c>
      <x:c r="H150" s="8" t="d">
        <x:v>2026-05-21T00:00:00.000Z</x:v>
      </x:c>
      <x:c r="I150" s="8"/>
      <x:c r="J150" s="7" t="n">
        <x:v>0</x:v>
      </x:c>
      <x:c r="K150" s="1" t="n">
        <x:v>46.77</x:v>
      </x:c>
      <x:c r="L150" s="1" t="n">
        <x:v>1</x:v>
      </x:c>
      <x:c r="M150" s="1" t="n">
        <x:v>169</x:v>
      </x:c>
      <x:c r="N150" s="1"/>
      <x:c r="O150" s="1"/>
      <x:c r="P150" s="1"/>
      <x:c r="Q150" s="1"/>
    </x:row>
    <x:row r="151" ht="22" customHeight="1">
      <x:c r="A151" s="1" t="str">
        <x:v>O0146</x:v>
      </x:c>
      <x:c r="B151" s="1" t="str">
        <x:v>Simulated Kolkata Management Institute 146</x:v>
      </x:c>
      <x:c r="C151" s="1" t="str">
        <x:v>East</x:v>
      </x:c>
      <x:c r="D151" s="1" t="str">
        <x:v>Qualified</x:v>
      </x:c>
      <x:c r="E151" s="1" t="str">
        <x:v>Open</x:v>
      </x:c>
      <x:c r="F151" s="7" t="n">
        <x:v>110000</x:v>
      </x:c>
      <x:c r="G151" s="8" t="d">
        <x:v>2026-09-05T00:00:00.000Z</x:v>
      </x:c>
      <x:c r="H151" s="8" t="d">
        <x:v>2026-12-24T00:00:00.000Z</x:v>
      </x:c>
      <x:c r="I151" s="8"/>
      <x:c r="J151" s="7" t="n">
        <x:v>0</x:v>
      </x:c>
      <x:c r="K151" s="1" t="n">
        <x:v>41.8</x:v>
      </x:c>
      <x:c r="L151" s="1" t="n">
        <x:v>0</x:v>
      </x:c>
      <x:c r="M151" s="1" t="n">
        <x:v>0</x:v>
      </x:c>
      <x:c r="N151" s="1"/>
      <x:c r="O151" s="1"/>
      <x:c r="P151" s="1"/>
      <x:c r="Q151" s="1"/>
    </x:row>
    <x:row r="152" ht="22" customHeight="1">
      <x:c r="A152" s="1" t="str">
        <x:v>O0147</x:v>
      </x:c>
      <x:c r="B152" s="1" t="str">
        <x:v>Simulated Bhubaneswar Engineering College 147</x:v>
      </x:c>
      <x:c r="C152" s="1" t="str">
        <x:v>East</x:v>
      </x:c>
      <x:c r="D152" s="1" t="str">
        <x:v>Meeting Scheduled</x:v>
      </x:c>
      <x:c r="E152" s="1" t="str">
        <x:v>Open</x:v>
      </x:c>
      <x:c r="F152" s="7" t="n">
        <x:v>235000</x:v>
      </x:c>
      <x:c r="G152" s="8" t="d">
        <x:v>2026-06-05T00:00:00.000Z</x:v>
      </x:c>
      <x:c r="H152" s="8" t="d">
        <x:v>2026-08-26T00:00:00.000Z</x:v>
      </x:c>
      <x:c r="I152" s="8"/>
      <x:c r="J152" s="7" t="n">
        <x:v>0</x:v>
      </x:c>
      <x:c r="K152" s="1" t="n">
        <x:v>56.6</x:v>
      </x:c>
      <x:c r="L152" s="1" t="n">
        <x:v>0</x:v>
      </x:c>
      <x:c r="M152" s="1" t="n">
        <x:v>57</x:v>
      </x:c>
      <x:c r="N152" s="1"/>
      <x:c r="O152" s="1"/>
      <x:c r="P152" s="1"/>
      <x:c r="Q152" s="1"/>
    </x:row>
    <x:row r="153" ht="22" customHeight="1">
      <x:c r="A153" s="1" t="str">
        <x:v>O0148</x:v>
      </x:c>
      <x:c r="B153" s="1" t="str">
        <x:v>Simulated Patna Arts and Science College 148</x:v>
      </x:c>
      <x:c r="C153" s="1" t="str">
        <x:v>East</x:v>
      </x:c>
      <x:c r="D153" s="1" t="str">
        <x:v>Initial Contact</x:v>
      </x:c>
      <x:c r="E153" s="1" t="str">
        <x:v>Open</x:v>
      </x:c>
      <x:c r="F153" s="7" t="n">
        <x:v>459000</x:v>
      </x:c>
      <x:c r="G153" s="8" t="d">
        <x:v>2025-12-07T00:00:00.000Z</x:v>
      </x:c>
      <x:c r="H153" s="8" t="d">
        <x:v>2026-03-23T00:00:00.000Z</x:v>
      </x:c>
      <x:c r="I153" s="8"/>
      <x:c r="J153" s="7" t="n">
        <x:v>0</x:v>
      </x:c>
      <x:c r="K153" s="1" t="n">
        <x:v>50.85</x:v>
      </x:c>
      <x:c r="L153" s="1" t="n">
        <x:v>1</x:v>
      </x:c>
      <x:c r="M153" s="1" t="n">
        <x:v>249</x:v>
      </x:c>
      <x:c r="N153" s="1"/>
      <x:c r="O153" s="1"/>
      <x:c r="P153" s="1"/>
      <x:c r="Q153" s="1"/>
    </x:row>
    <x:row r="154" ht="22" customHeight="1">
      <x:c r="A154" s="1" t="str">
        <x:v>O0149</x:v>
      </x:c>
      <x:c r="B154" s="1" t="str">
        <x:v>Simulated Guwahati Arts and Science College 149</x:v>
      </x:c>
      <x:c r="C154" s="1" t="str">
        <x:v>Northeast</x:v>
      </x:c>
      <x:c r="D154" s="1" t="str">
        <x:v>Closed Lost</x:v>
      </x:c>
      <x:c r="E154" s="1" t="str">
        <x:v>Lost</x:v>
      </x:c>
      <x:c r="F154" s="7" t="n">
        <x:v>212000</x:v>
      </x:c>
      <x:c r="G154" s="8" t="d">
        <x:v>2026-06-22T00:00:00.000Z</x:v>
      </x:c>
      <x:c r="H154" s="8" t="d">
        <x:v>2026-11-01T00:00:00.000Z</x:v>
      </x:c>
      <x:c r="I154" s="8" t="d">
        <x:v>2026-08-17T00:00:00.000Z</x:v>
      </x:c>
      <x:c r="J154" s="7" t="n">
        <x:v>0</x:v>
      </x:c>
      <x:c r="K154" s="1" t="n">
        <x:v>0</x:v>
      </x:c>
      <x:c r="L154" s="1" t="n">
        <x:v>0</x:v>
      </x:c>
      <x:c r="M154" s="1" t="n">
        <x:v>44</x:v>
      </x:c>
      <x:c r="N154" s="1"/>
      <x:c r="O154" s="1"/>
      <x:c r="P154" s="1"/>
      <x:c r="Q154" s="1"/>
    </x:row>
    <x:row r="155" ht="22" customHeight="1">
      <x:c r="A155" s="1" t="str">
        <x:v>O0150</x:v>
      </x:c>
      <x:c r="B155" s="1" t="str">
        <x:v>Simulated Indore Engineering College 150</x:v>
      </x:c>
      <x:c r="C155" s="1" t="str">
        <x:v>Central</x:v>
      </x:c>
      <x:c r="D155" s="1" t="str">
        <x:v>Qualified</x:v>
      </x:c>
      <x:c r="E155" s="1" t="str">
        <x:v>Open</x:v>
      </x:c>
      <x:c r="F155" s="7" t="n">
        <x:v>200000</x:v>
      </x:c>
      <x:c r="G155" s="8" t="d">
        <x:v>2026-09-06T00:00:00.000Z</x:v>
      </x:c>
      <x:c r="H155" s="8" t="d">
        <x:v>2027-01-22T00:00:00.000Z</x:v>
      </x:c>
      <x:c r="I155" s="8"/>
      <x:c r="J155" s="7" t="n">
        <x:v>0</x:v>
      </x:c>
      <x:c r="K155" s="1" t="n">
        <x:v>27.79</x:v>
      </x:c>
      <x:c r="L155" s="1" t="n">
        <x:v>0</x:v>
      </x:c>
      <x:c r="M155" s="1" t="n">
        <x:v>4</x:v>
      </x:c>
      <x:c r="N155" s="1"/>
      <x:c r="O155" s="1"/>
      <x:c r="P155" s="1"/>
      <x:c r="Q155" s="1"/>
    </x:row>
    <x:row r="156" ht="22" customHeight="1">
      <x:c r="A156" s="1" t="str">
        <x:v>O0151</x:v>
      </x:c>
      <x:c r="B156" s="1" t="str">
        <x:v>Simulated New Delhi University 151</x:v>
      </x:c>
      <x:c r="C156" s="1" t="str">
        <x:v>North</x:v>
      </x:c>
      <x:c r="D156" s="1" t="str">
        <x:v>Prospect Identified</x:v>
      </x:c>
      <x:c r="E156" s="1" t="str">
        <x:v>Open</x:v>
      </x:c>
      <x:c r="F156" s="7" t="n">
        <x:v>249000</x:v>
      </x:c>
      <x:c r="G156" s="8" t="d">
        <x:v>2026-04-02T00:00:00.000Z</x:v>
      </x:c>
      <x:c r="H156" s="8" t="d">
        <x:v>2026-07-26T00:00:00.000Z</x:v>
      </x:c>
      <x:c r="I156" s="8"/>
      <x:c r="J156" s="7" t="n">
        <x:v>0</x:v>
      </x:c>
      <x:c r="K156" s="1" t="n">
        <x:v>50.71</x:v>
      </x:c>
      <x:c r="L156" s="1" t="n">
        <x:v>1</x:v>
      </x:c>
      <x:c r="M156" s="1" t="n">
        <x:v>181</x:v>
      </x:c>
      <x:c r="N156" s="1"/>
      <x:c r="O156" s="1"/>
      <x:c r="P156" s="1"/>
      <x:c r="Q156" s="1"/>
    </x:row>
    <x:row r="157" ht="22" customHeight="1">
      <x:c r="A157" s="1" t="str">
        <x:v>O0152</x:v>
      </x:c>
      <x:c r="B157" s="1" t="str">
        <x:v>Simulated Noida Engineering College 152</x:v>
      </x:c>
      <x:c r="C157" s="1" t="str">
        <x:v>North</x:v>
      </x:c>
      <x:c r="D157" s="1" t="str">
        <x:v>Closed Lost</x:v>
      </x:c>
      <x:c r="E157" s="1" t="str">
        <x:v>Lost</x:v>
      </x:c>
      <x:c r="F157" s="7" t="n">
        <x:v>150000</x:v>
      </x:c>
      <x:c r="G157" s="8" t="d">
        <x:v>2026-08-03T00:00:00.000Z</x:v>
      </x:c>
      <x:c r="H157" s="8" t="d">
        <x:v>2026-12-04T00:00:00.000Z</x:v>
      </x:c>
      <x:c r="I157" s="8" t="d">
        <x:v>2026-08-26T00:00:00.000Z</x:v>
      </x:c>
      <x:c r="J157" s="7" t="n">
        <x:v>0</x:v>
      </x:c>
      <x:c r="K157" s="1" t="n">
        <x:v>0</x:v>
      </x:c>
      <x:c r="L157" s="1" t="n">
        <x:v>0</x:v>
      </x:c>
      <x:c r="M157" s="1" t="n">
        <x:v>35</x:v>
      </x:c>
      <x:c r="N157" s="1"/>
      <x:c r="O157" s="1"/>
      <x:c r="P157" s="1"/>
      <x:c r="Q157" s="1"/>
    </x:row>
    <x:row r="158" ht="22" customHeight="1">
      <x:c r="A158" s="1" t="str">
        <x:v>O0153</x:v>
      </x:c>
      <x:c r="B158" s="1" t="str">
        <x:v>Simulated Gurugram Management Institute 153</x:v>
      </x:c>
      <x:c r="C158" s="1" t="str">
        <x:v>North</x:v>
      </x:c>
      <x:c r="D158" s="1" t="str">
        <x:v>Proposal Sent</x:v>
      </x:c>
      <x:c r="E158" s="1" t="str">
        <x:v>Open</x:v>
      </x:c>
      <x:c r="F158" s="7" t="n">
        <x:v>169000</x:v>
      </x:c>
      <x:c r="G158" s="8" t="d">
        <x:v>2026-06-24T00:00:00.000Z</x:v>
      </x:c>
      <x:c r="H158" s="8" t="d">
        <x:v>2026-09-26T00:00:00.000Z</x:v>
      </x:c>
      <x:c r="I158" s="8"/>
      <x:c r="J158" s="7" t="n">
        <x:v>0</x:v>
      </x:c>
      <x:c r="K158" s="1" t="n">
        <x:v>47.27</x:v>
      </x:c>
      <x:c r="L158" s="1" t="n">
        <x:v>1</x:v>
      </x:c>
      <x:c r="M158" s="1" t="n">
        <x:v>29</x:v>
      </x:c>
      <x:c r="N158" s="1"/>
      <x:c r="O158" s="1"/>
      <x:c r="P158" s="1"/>
      <x:c r="Q158" s="1"/>
    </x:row>
    <x:row r="159" ht="22" customHeight="1">
      <x:c r="A159" s="1" t="str">
        <x:v>O0154</x:v>
      </x:c>
      <x:c r="B159" s="1" t="str">
        <x:v>Simulated Ludhiana Arts and Science College 154</x:v>
      </x:c>
      <x:c r="C159" s="1" t="str">
        <x:v>North</x:v>
      </x:c>
      <x:c r="D159" s="1" t="str">
        <x:v>Closed Lost</x:v>
      </x:c>
      <x:c r="E159" s="1" t="str">
        <x:v>Lost</x:v>
      </x:c>
      <x:c r="F159" s="7" t="n">
        <x:v>261000</x:v>
      </x:c>
      <x:c r="G159" s="8" t="d">
        <x:v>2026-02-07T00:00:00.000Z</x:v>
      </x:c>
      <x:c r="H159" s="8" t="d">
        <x:v>2026-07-04T00:00:00.000Z</x:v>
      </x:c>
      <x:c r="I159" s="8" t="d">
        <x:v>2026-05-11T00:00:00.000Z</x:v>
      </x:c>
      <x:c r="J159" s="7" t="n">
        <x:v>0</x:v>
      </x:c>
      <x:c r="K159" s="1" t="n">
        <x:v>0</x:v>
      </x:c>
      <x:c r="L159" s="1" t="n">
        <x:v>0</x:v>
      </x:c>
      <x:c r="M159" s="1" t="n">
        <x:v>142</x:v>
      </x:c>
      <x:c r="N159" s="1"/>
      <x:c r="O159" s="1"/>
      <x:c r="P159" s="1"/>
      <x:c r="Q159" s="1"/>
    </x:row>
    <x:row r="160" ht="22" customHeight="1">
      <x:c r="A160" s="1" t="str">
        <x:v>O0155</x:v>
      </x:c>
      <x:c r="B160" s="1" t="str">
        <x:v>Simulated Pune Engineering College 155</x:v>
      </x:c>
      <x:c r="C160" s="1" t="str">
        <x:v>West</x:v>
      </x:c>
      <x:c r="D160" s="1" t="str">
        <x:v>Closed Lost</x:v>
      </x:c>
      <x:c r="E160" s="1" t="str">
        <x:v>Lost</x:v>
      </x:c>
      <x:c r="F160" s="7" t="n">
        <x:v>243000</x:v>
      </x:c>
      <x:c r="G160" s="8" t="d">
        <x:v>2026-07-24T00:00:00.000Z</x:v>
      </x:c>
      <x:c r="H160" s="8" t="d">
        <x:v>2026-10-22T00:00:00.000Z</x:v>
      </x:c>
      <x:c r="I160" s="8" t="d">
        <x:v>2026-08-18T00:00:00.000Z</x:v>
      </x:c>
      <x:c r="J160" s="7" t="n">
        <x:v>0</x:v>
      </x:c>
      <x:c r="K160" s="1" t="n">
        <x:v>0</x:v>
      </x:c>
      <x:c r="L160" s="1" t="n">
        <x:v>0</x:v>
      </x:c>
      <x:c r="M160" s="1" t="n">
        <x:v>43</x:v>
      </x:c>
      <x:c r="N160" s="1"/>
      <x:c r="O160" s="1"/>
      <x:c r="P160" s="1"/>
      <x:c r="Q160" s="1"/>
    </x:row>
    <x:row r="161" ht="22" customHeight="1">
      <x:c r="A161" s="1" t="str">
        <x:v>O0156</x:v>
      </x:c>
      <x:c r="B161" s="1" t="str">
        <x:v>Simulated Ahmedabad Arts and Science College 156</x:v>
      </x:c>
      <x:c r="C161" s="1" t="str">
        <x:v>West</x:v>
      </x:c>
      <x:c r="D161" s="1" t="str">
        <x:v>Closed Won</x:v>
      </x:c>
      <x:c r="E161" s="1" t="str">
        <x:v>Won</x:v>
      </x:c>
      <x:c r="F161" s="7" t="n">
        <x:v>133000</x:v>
      </x:c>
      <x:c r="G161" s="8" t="d">
        <x:v>2025-10-10T00:00:00.000Z</x:v>
      </x:c>
      <x:c r="H161" s="8" t="d">
        <x:v>2026-01-16T00:00:00.000Z</x:v>
      </x:c>
      <x:c r="I161" s="8" t="d">
        <x:v>2026-02-02T00:00:00.000Z</x:v>
      </x:c>
      <x:c r="J161" s="7" t="n">
        <x:v>87816.44</x:v>
      </x:c>
      <x:c r="K161" s="1" t="n">
        <x:v>0</x:v>
      </x:c>
      <x:c r="L161" s="1" t="n">
        <x:v>0</x:v>
      </x:c>
      <x:c r="M161" s="1" t="n">
        <x:v>240</x:v>
      </x:c>
      <x:c r="N161" s="1"/>
      <x:c r="O161" s="1"/>
      <x:c r="P161" s="1"/>
      <x:c r="Q161" s="1"/>
    </x:row>
    <x:row r="162" ht="22" customHeight="1">
      <x:c r="A162" s="1" t="str">
        <x:v>O0157</x:v>
      </x:c>
      <x:c r="B162" s="1" t="str">
        <x:v>Simulated Jaipur Engineering College 157</x:v>
      </x:c>
      <x:c r="C162" s="1" t="str">
        <x:v>West</x:v>
      </x:c>
      <x:c r="D162" s="1" t="str">
        <x:v>Prospect Identified</x:v>
      </x:c>
      <x:c r="E162" s="1" t="str">
        <x:v>Open</x:v>
      </x:c>
      <x:c r="F162" s="7" t="n">
        <x:v>278000</x:v>
      </x:c>
      <x:c r="G162" s="8" t="d">
        <x:v>2026-03-06T00:00:00.000Z</x:v>
      </x:c>
      <x:c r="H162" s="8" t="d">
        <x:v>2026-06-24T00:00:00.000Z</x:v>
      </x:c>
      <x:c r="I162" s="8"/>
      <x:c r="J162" s="7" t="n">
        <x:v>0</x:v>
      </x:c>
      <x:c r="K162" s="1" t="n">
        <x:v>31.41</x:v>
      </x:c>
      <x:c r="L162" s="1" t="n">
        <x:v>1</x:v>
      </x:c>
      <x:c r="M162" s="1" t="n">
        <x:v>208</x:v>
      </x:c>
      <x:c r="N162" s="1"/>
      <x:c r="O162" s="1"/>
      <x:c r="P162" s="1"/>
      <x:c r="Q162" s="1"/>
    </x:row>
    <x:row r="163" ht="22" customHeight="1">
      <x:c r="A163" s="1" t="str">
        <x:v>O0158</x:v>
      </x:c>
      <x:c r="B163" s="1" t="str">
        <x:v>Simulated Bengaluru Engineering College 158</x:v>
      </x:c>
      <x:c r="C163" s="1" t="str">
        <x:v>South</x:v>
      </x:c>
      <x:c r="D163" s="1" t="str">
        <x:v>Qualified</x:v>
      </x:c>
      <x:c r="E163" s="1" t="str">
        <x:v>Open</x:v>
      </x:c>
      <x:c r="F163" s="7" t="n">
        <x:v>196000</x:v>
      </x:c>
      <x:c r="G163" s="8" t="d">
        <x:v>2025-12-03T00:00:00.000Z</x:v>
      </x:c>
      <x:c r="H163" s="8" t="d">
        <x:v>2026-03-04T00:00:00.000Z</x:v>
      </x:c>
      <x:c r="I163" s="8"/>
      <x:c r="J163" s="7" t="n">
        <x:v>0</x:v>
      </x:c>
      <x:c r="K163" s="1" t="n">
        <x:v>51.89</x:v>
      </x:c>
      <x:c r="L163" s="1" t="n">
        <x:v>0</x:v>
      </x:c>
      <x:c r="M163" s="1" t="n">
        <x:v>296</x:v>
      </x:c>
      <x:c r="N163" s="1"/>
      <x:c r="O163" s="1"/>
      <x:c r="P163" s="1"/>
      <x:c r="Q163" s="1"/>
    </x:row>
    <x:row r="164" ht="22" customHeight="1">
      <x:c r="A164" s="1" t="str">
        <x:v>O0159</x:v>
      </x:c>
      <x:c r="B164" s="1" t="str">
        <x:v>Simulated Chennai University 159</x:v>
      </x:c>
      <x:c r="C164" s="1" t="str">
        <x:v>South</x:v>
      </x:c>
      <x:c r="D164" s="1" t="str">
        <x:v>Closed Won</x:v>
      </x:c>
      <x:c r="E164" s="1" t="str">
        <x:v>Won</x:v>
      </x:c>
      <x:c r="F164" s="7" t="n">
        <x:v>220000</x:v>
      </x:c>
      <x:c r="G164" s="8" t="d">
        <x:v>2026-05-30T00:00:00.000Z</x:v>
      </x:c>
      <x:c r="H164" s="8" t="d">
        <x:v>2026-09-24T00:00:00.000Z</x:v>
      </x:c>
      <x:c r="I164" s="8" t="d">
        <x:v>2026-09-10T00:00:00.000Z</x:v>
      </x:c>
      <x:c r="J164" s="7" t="n">
        <x:v>12657.53</x:v>
      </x:c>
      <x:c r="K164" s="1" t="n">
        <x:v>0</x:v>
      </x:c>
      <x:c r="L164" s="1" t="n">
        <x:v>0</x:v>
      </x:c>
      <x:c r="M164" s="1" t="n">
        <x:v>20</x:v>
      </x:c>
      <x:c r="N164" s="1"/>
      <x:c r="O164" s="1"/>
      <x:c r="P164" s="1"/>
      <x:c r="Q164" s="1"/>
    </x:row>
    <x:row r="165" ht="22" customHeight="1">
      <x:c r="A165" s="1" t="str">
        <x:v>O0160</x:v>
      </x:c>
      <x:c r="B165" s="1" t="str">
        <x:v>Simulated Hyderabad University 160</x:v>
      </x:c>
      <x:c r="C165" s="1" t="str">
        <x:v>South</x:v>
      </x:c>
      <x:c r="D165" s="1" t="str">
        <x:v>Closed Won</x:v>
      </x:c>
      <x:c r="E165" s="1" t="str">
        <x:v>Won</x:v>
      </x:c>
      <x:c r="F165" s="7" t="n">
        <x:v>558000</x:v>
      </x:c>
      <x:c r="G165" s="8" t="d">
        <x:v>2026-02-16T00:00:00.000Z</x:v>
      </x:c>
      <x:c r="H165" s="8" t="d">
        <x:v>2026-05-18T00:00:00.000Z</x:v>
      </x:c>
      <x:c r="I165" s="8" t="d">
        <x:v>2026-06-19T00:00:00.000Z</x:v>
      </x:c>
      <x:c r="J165" s="7" t="n">
        <x:v>158991.78</x:v>
      </x:c>
      <x:c r="K165" s="1" t="n">
        <x:v>0</x:v>
      </x:c>
      <x:c r="L165" s="1" t="n">
        <x:v>0</x:v>
      </x:c>
      <x:c r="M165" s="1" t="n">
        <x:v>103</x:v>
      </x:c>
      <x:c r="N165" s="1"/>
      <x:c r="O165" s="1"/>
      <x:c r="P165" s="1"/>
      <x:c r="Q165" s="1"/>
    </x:row>
    <x:row r="166" ht="22" customHeight="1">
      <x:c r="A166" s="1" t="str">
        <x:v>O0161</x:v>
      </x:c>
      <x:c r="B166" s="1" t="str">
        <x:v>Simulated Kolkata Management Institute 161</x:v>
      </x:c>
      <x:c r="C166" s="1" t="str">
        <x:v>East</x:v>
      </x:c>
      <x:c r="D166" s="1" t="str">
        <x:v>Proposal Sent</x:v>
      </x:c>
      <x:c r="E166" s="1" t="str">
        <x:v>Open</x:v>
      </x:c>
      <x:c r="F166" s="7" t="n">
        <x:v>343000</x:v>
      </x:c>
      <x:c r="G166" s="8" t="d">
        <x:v>2026-06-08T00:00:00.000Z</x:v>
      </x:c>
      <x:c r="H166" s="8" t="d">
        <x:v>2026-09-17T00:00:00.000Z</x:v>
      </x:c>
      <x:c r="I166" s="8"/>
      <x:c r="J166" s="7" t="n">
        <x:v>0</x:v>
      </x:c>
      <x:c r="K166" s="1" t="n">
        <x:v>41.3</x:v>
      </x:c>
      <x:c r="L166" s="1" t="n">
        <x:v>1</x:v>
      </x:c>
      <x:c r="M166" s="1" t="n">
        <x:v>36</x:v>
      </x:c>
      <x:c r="N166" s="1"/>
      <x:c r="O166" s="1"/>
      <x:c r="P166" s="1"/>
      <x:c r="Q166" s="1"/>
    </x:row>
    <x:row r="167" ht="22" customHeight="1">
      <x:c r="A167" s="1" t="str">
        <x:v>O0162</x:v>
      </x:c>
      <x:c r="B167" s="1" t="str">
        <x:v>Simulated Bhubaneswar University 162</x:v>
      </x:c>
      <x:c r="C167" s="1" t="str">
        <x:v>East</x:v>
      </x:c>
      <x:c r="D167" s="1" t="str">
        <x:v>Qualified</x:v>
      </x:c>
      <x:c r="E167" s="1" t="str">
        <x:v>Open</x:v>
      </x:c>
      <x:c r="F167" s="7" t="n">
        <x:v>308000</x:v>
      </x:c>
      <x:c r="G167" s="8" t="d">
        <x:v>2026-02-17T00:00:00.000Z</x:v>
      </x:c>
      <x:c r="H167" s="8" t="d">
        <x:v>2026-06-19T00:00:00.000Z</x:v>
      </x:c>
      <x:c r="I167" s="8"/>
      <x:c r="J167" s="7" t="n">
        <x:v>0</x:v>
      </x:c>
      <x:c r="K167" s="1" t="n">
        <x:v>58.25</x:v>
      </x:c>
      <x:c r="L167" s="1" t="n">
        <x:v>1</x:v>
      </x:c>
      <x:c r="M167" s="1" t="n">
        <x:v>202</x:v>
      </x:c>
      <x:c r="N167" s="1"/>
      <x:c r="O167" s="1"/>
      <x:c r="P167" s="1"/>
      <x:c r="Q167" s="1"/>
    </x:row>
    <x:row r="168" ht="22" customHeight="1">
      <x:c r="A168" s="1" t="str">
        <x:v>O0163</x:v>
      </x:c>
      <x:c r="B168" s="1" t="str">
        <x:v>Simulated Patna Engineering College 163</x:v>
      </x:c>
      <x:c r="C168" s="1" t="str">
        <x:v>East</x:v>
      </x:c>
      <x:c r="D168" s="1" t="str">
        <x:v>Closed Won</x:v>
      </x:c>
      <x:c r="E168" s="1" t="str">
        <x:v>Won</x:v>
      </x:c>
      <x:c r="F168" s="7" t="n">
        <x:v>340000</x:v>
      </x:c>
      <x:c r="G168" s="8" t="d">
        <x:v>2026-05-29T00:00:00.000Z</x:v>
      </x:c>
      <x:c r="H168" s="8" t="d">
        <x:v>2026-08-25T00:00:00.000Z</x:v>
      </x:c>
      <x:c r="I168" s="8" t="d">
        <x:v>2026-09-06T00:00:00.000Z</x:v>
      </x:c>
      <x:c r="J168" s="7" t="n">
        <x:v>23287.67</x:v>
      </x:c>
      <x:c r="K168" s="1" t="n">
        <x:v>0</x:v>
      </x:c>
      <x:c r="L168" s="1" t="n">
        <x:v>0</x:v>
      </x:c>
      <x:c r="M168" s="1" t="n">
        <x:v>24</x:v>
      </x:c>
      <x:c r="N168" s="1"/>
      <x:c r="O168" s="1"/>
      <x:c r="P168" s="1"/>
      <x:c r="Q168" s="1"/>
    </x:row>
    <x:row r="169" ht="22" customHeight="1">
      <x:c r="A169" s="1" t="str">
        <x:v>O0164</x:v>
      </x:c>
      <x:c r="B169" s="1" t="str">
        <x:v>Simulated Guwahati Arts and Science College 164</x:v>
      </x:c>
      <x:c r="C169" s="1" t="str">
        <x:v>Northeast</x:v>
      </x:c>
      <x:c r="D169" s="1" t="str">
        <x:v>Closed Lost</x:v>
      </x:c>
      <x:c r="E169" s="1" t="str">
        <x:v>Lost</x:v>
      </x:c>
      <x:c r="F169" s="7" t="n">
        <x:v>220000</x:v>
      </x:c>
      <x:c r="G169" s="8" t="d">
        <x:v>2025-11-17T00:00:00.000Z</x:v>
      </x:c>
      <x:c r="H169" s="8" t="d">
        <x:v>2026-02-19T00:00:00.000Z</x:v>
      </x:c>
      <x:c r="I169" s="8" t="d">
        <x:v>2026-03-02T00:00:00.000Z</x:v>
      </x:c>
      <x:c r="J169" s="7" t="n">
        <x:v>0</x:v>
      </x:c>
      <x:c r="K169" s="1" t="n">
        <x:v>0</x:v>
      </x:c>
      <x:c r="L169" s="1" t="n">
        <x:v>0</x:v>
      </x:c>
      <x:c r="M169" s="1" t="n">
        <x:v>212</x:v>
      </x:c>
      <x:c r="N169" s="1"/>
      <x:c r="O169" s="1"/>
      <x:c r="P169" s="1"/>
      <x:c r="Q169" s="1"/>
    </x:row>
    <x:row r="170" ht="22" customHeight="1">
      <x:c r="A170" s="1" t="str">
        <x:v>O0165</x:v>
      </x:c>
      <x:c r="B170" s="1" t="str">
        <x:v>Simulated Indore Management Institute 165</x:v>
      </x:c>
      <x:c r="C170" s="1" t="str">
        <x:v>Central</x:v>
      </x:c>
      <x:c r="D170" s="1" t="str">
        <x:v>Meeting Scheduled</x:v>
      </x:c>
      <x:c r="E170" s="1" t="str">
        <x:v>Open</x:v>
      </x:c>
      <x:c r="F170" s="7" t="n">
        <x:v>95000</x:v>
      </x:c>
      <x:c r="G170" s="8" t="d">
        <x:v>2025-12-31T00:00:00.000Z</x:v>
      </x:c>
      <x:c r="H170" s="8" t="d">
        <x:v>2026-04-11T00:00:00.000Z</x:v>
      </x:c>
      <x:c r="I170" s="8"/>
      <x:c r="J170" s="7" t="n">
        <x:v>0</x:v>
      </x:c>
      <x:c r="K170" s="1" t="n">
        <x:v>31.35</x:v>
      </x:c>
      <x:c r="L170" s="1" t="n">
        <x:v>1</x:v>
      </x:c>
      <x:c r="M170" s="1" t="n">
        <x:v>202</x:v>
      </x:c>
      <x:c r="N170" s="1"/>
      <x:c r="O170" s="1"/>
      <x:c r="P170" s="1"/>
      <x:c r="Q170" s="1"/>
    </x:row>
    <x:row r="171" ht="22" customHeight="1">
      <x:c r="A171" s="1" t="str">
        <x:v>O0166</x:v>
      </x:c>
      <x:c r="B171" s="1" t="str">
        <x:v>Simulated New Delhi Engineering College 166</x:v>
      </x:c>
      <x:c r="C171" s="1" t="str">
        <x:v>North</x:v>
      </x:c>
      <x:c r="D171" s="1" t="str">
        <x:v>Closed Lost</x:v>
      </x:c>
      <x:c r="E171" s="1" t="str">
        <x:v>Lost</x:v>
      </x:c>
      <x:c r="F171" s="7" t="n">
        <x:v>127000</x:v>
      </x:c>
      <x:c r="G171" s="8" t="d">
        <x:v>2026-08-03T00:00:00.000Z</x:v>
      </x:c>
      <x:c r="H171" s="8" t="d">
        <x:v>2026-10-26T00:00:00.000Z</x:v>
      </x:c>
      <x:c r="I171" s="8" t="d">
        <x:v>2026-09-02T00:00:00.000Z</x:v>
      </x:c>
      <x:c r="J171" s="7" t="n">
        <x:v>0</x:v>
      </x:c>
      <x:c r="K171" s="1" t="n">
        <x:v>0</x:v>
      </x:c>
      <x:c r="L171" s="1" t="n">
        <x:v>0</x:v>
      </x:c>
      <x:c r="M171" s="1" t="n">
        <x:v>28</x:v>
      </x:c>
      <x:c r="N171" s="1"/>
      <x:c r="O171" s="1"/>
      <x:c r="P171" s="1"/>
      <x:c r="Q171" s="1"/>
    </x:row>
    <x:row r="172" ht="22" customHeight="1">
      <x:c r="A172" s="1" t="str">
        <x:v>O0167</x:v>
      </x:c>
      <x:c r="B172" s="1" t="str">
        <x:v>Simulated Noida Engineering College 167</x:v>
      </x:c>
      <x:c r="C172" s="1" t="str">
        <x:v>North</x:v>
      </x:c>
      <x:c r="D172" s="1" t="str">
        <x:v>Closed Lost</x:v>
      </x:c>
      <x:c r="E172" s="1" t="str">
        <x:v>Lost</x:v>
      </x:c>
      <x:c r="F172" s="7" t="n">
        <x:v>197000</x:v>
      </x:c>
      <x:c r="G172" s="8" t="d">
        <x:v>2025-10-26T00:00:00.000Z</x:v>
      </x:c>
      <x:c r="H172" s="8" t="d">
        <x:v>2026-03-19T00:00:00.000Z</x:v>
      </x:c>
      <x:c r="I172" s="8" t="d">
        <x:v>2025-11-15T00:00:00.000Z</x:v>
      </x:c>
      <x:c r="J172" s="7" t="n">
        <x:v>0</x:v>
      </x:c>
      <x:c r="K172" s="1" t="n">
        <x:v>0</x:v>
      </x:c>
      <x:c r="L172" s="1" t="n">
        <x:v>0</x:v>
      </x:c>
      <x:c r="M172" s="1" t="n">
        <x:v>319</x:v>
      </x:c>
      <x:c r="N172" s="1"/>
      <x:c r="O172" s="1"/>
      <x:c r="P172" s="1"/>
      <x:c r="Q172" s="1"/>
    </x:row>
    <x:row r="173" ht="22" customHeight="1">
      <x:c r="A173" s="1" t="str">
        <x:v>O0168</x:v>
      </x:c>
      <x:c r="B173" s="1" t="str">
        <x:v>Simulated Gurugram Engineering College 168</x:v>
      </x:c>
      <x:c r="C173" s="1" t="str">
        <x:v>North</x:v>
      </x:c>
      <x:c r="D173" s="1" t="str">
        <x:v>Closed Lost</x:v>
      </x:c>
      <x:c r="E173" s="1" t="str">
        <x:v>Lost</x:v>
      </x:c>
      <x:c r="F173" s="7" t="n">
        <x:v>118000</x:v>
      </x:c>
      <x:c r="G173" s="8" t="d">
        <x:v>2026-08-22T00:00:00.000Z</x:v>
      </x:c>
      <x:c r="H173" s="8" t="d">
        <x:v>2026-12-03T00:00:00.000Z</x:v>
      </x:c>
      <x:c r="I173" s="8" t="d">
        <x:v>2026-09-17T00:00:00.000Z</x:v>
      </x:c>
      <x:c r="J173" s="7" t="n">
        <x:v>0</x:v>
      </x:c>
      <x:c r="K173" s="1" t="n">
        <x:v>0</x:v>
      </x:c>
      <x:c r="L173" s="1" t="n">
        <x:v>0</x:v>
      </x:c>
      <x:c r="M173" s="1" t="n">
        <x:v>13</x:v>
      </x:c>
      <x:c r="N173" s="1"/>
      <x:c r="O173" s="1"/>
      <x:c r="P173" s="1"/>
      <x:c r="Q173" s="1"/>
    </x:row>
    <x:row r="174" ht="22" customHeight="1">
      <x:c r="A174" s="1" t="str">
        <x:v>O0169</x:v>
      </x:c>
      <x:c r="B174" s="1" t="str">
        <x:v>Simulated Ludhiana Engineering College 169</x:v>
      </x:c>
      <x:c r="C174" s="1" t="str">
        <x:v>North</x:v>
      </x:c>
      <x:c r="D174" s="1" t="str">
        <x:v>Closed Lost</x:v>
      </x:c>
      <x:c r="E174" s="1" t="str">
        <x:v>Lost</x:v>
      </x:c>
      <x:c r="F174" s="7" t="n">
        <x:v>241000</x:v>
      </x:c>
      <x:c r="G174" s="8" t="d">
        <x:v>2026-03-03T00:00:00.000Z</x:v>
      </x:c>
      <x:c r="H174" s="8" t="d">
        <x:v>2026-07-29T00:00:00.000Z</x:v>
      </x:c>
      <x:c r="I174" s="8" t="d">
        <x:v>2026-05-26T00:00:00.000Z</x:v>
      </x:c>
      <x:c r="J174" s="7" t="n">
        <x:v>0</x:v>
      </x:c>
      <x:c r="K174" s="1" t="n">
        <x:v>0</x:v>
      </x:c>
      <x:c r="L174" s="1" t="n">
        <x:v>0</x:v>
      </x:c>
      <x:c r="M174" s="1" t="n">
        <x:v>127</x:v>
      </x:c>
      <x:c r="N174" s="1"/>
      <x:c r="O174" s="1"/>
      <x:c r="P174" s="1"/>
      <x:c r="Q174" s="1"/>
    </x:row>
    <x:row r="175" ht="22" customHeight="1">
      <x:c r="A175" s="1" t="str">
        <x:v>O0170</x:v>
      </x:c>
      <x:c r="B175" s="1" t="str">
        <x:v>Simulated Pune University 170</x:v>
      </x:c>
      <x:c r="C175" s="1" t="str">
        <x:v>West</x:v>
      </x:c>
      <x:c r="D175" s="1" t="str">
        <x:v>Initial Contact</x:v>
      </x:c>
      <x:c r="E175" s="1" t="str">
        <x:v>Open</x:v>
      </x:c>
      <x:c r="F175" s="7" t="n">
        <x:v>737000</x:v>
      </x:c>
      <x:c r="G175" s="8" t="d">
        <x:v>2026-05-12T00:00:00.000Z</x:v>
      </x:c>
      <x:c r="H175" s="8" t="d">
        <x:v>2026-10-09T00:00:00.000Z</x:v>
      </x:c>
      <x:c r="I175" s="8"/>
      <x:c r="J175" s="7" t="n">
        <x:v>0</x:v>
      </x:c>
      <x:c r="K175" s="1" t="n">
        <x:v>68.83</x:v>
      </x:c>
      <x:c r="L175" s="1" t="n">
        <x:v>0</x:v>
      </x:c>
      <x:c r="M175" s="1" t="n">
        <x:v>98</x:v>
      </x:c>
      <x:c r="N175" s="1"/>
      <x:c r="O175" s="1"/>
      <x:c r="P175" s="1"/>
      <x:c r="Q175" s="1"/>
    </x:row>
    <x:row r="176" ht="22" customHeight="1">
      <x:c r="A176" s="1" t="str">
        <x:v>O0171</x:v>
      </x:c>
      <x:c r="B176" s="1" t="str">
        <x:v>Simulated Ahmedabad Arts and Science College 171</x:v>
      </x:c>
      <x:c r="C176" s="1" t="str">
        <x:v>West</x:v>
      </x:c>
      <x:c r="D176" s="1" t="str">
        <x:v>Qualified</x:v>
      </x:c>
      <x:c r="E176" s="1" t="str">
        <x:v>Open</x:v>
      </x:c>
      <x:c r="F176" s="7" t="n">
        <x:v>192000</x:v>
      </x:c>
      <x:c r="G176" s="8" t="d">
        <x:v>2026-07-16T00:00:00.000Z</x:v>
      </x:c>
      <x:c r="H176" s="8" t="d">
        <x:v>2026-12-02T00:00:00.000Z</x:v>
      </x:c>
      <x:c r="I176" s="8"/>
      <x:c r="J176" s="7" t="n">
        <x:v>0</x:v>
      </x:c>
      <x:c r="K176" s="1" t="n">
        <x:v>32.16</x:v>
      </x:c>
      <x:c r="L176" s="1" t="n">
        <x:v>1</x:v>
      </x:c>
      <x:c r="M176" s="1" t="n">
        <x:v>48</x:v>
      </x:c>
      <x:c r="N176" s="1"/>
      <x:c r="O176" s="1"/>
      <x:c r="P176" s="1"/>
      <x:c r="Q176" s="1"/>
    </x:row>
    <x:row r="177" ht="22" customHeight="1">
      <x:c r="A177" s="1" t="str">
        <x:v>O0172</x:v>
      </x:c>
      <x:c r="B177" s="1" t="str">
        <x:v>Simulated Jaipur Arts and Science College 172</x:v>
      </x:c>
      <x:c r="C177" s="1" t="str">
        <x:v>West</x:v>
      </x:c>
      <x:c r="D177" s="1" t="str">
        <x:v>Initial Contact</x:v>
      </x:c>
      <x:c r="E177" s="1" t="str">
        <x:v>Open</x:v>
      </x:c>
      <x:c r="F177" s="7" t="n">
        <x:v>258000</x:v>
      </x:c>
      <x:c r="G177" s="8" t="d">
        <x:v>2026-03-04T00:00:00.000Z</x:v>
      </x:c>
      <x:c r="H177" s="8" t="d">
        <x:v>2026-07-04T00:00:00.000Z</x:v>
      </x:c>
      <x:c r="I177" s="8"/>
      <x:c r="J177" s="7" t="n">
        <x:v>0</x:v>
      </x:c>
      <x:c r="K177" s="1" t="n">
        <x:v>57.4</x:v>
      </x:c>
      <x:c r="L177" s="1" t="n">
        <x:v>0</x:v>
      </x:c>
      <x:c r="M177" s="1" t="n">
        <x:v>192</x:v>
      </x:c>
      <x:c r="N177" s="1"/>
      <x:c r="O177" s="1"/>
      <x:c r="P177" s="1"/>
      <x:c r="Q177" s="1"/>
    </x:row>
    <x:row r="178" ht="22" customHeight="1">
      <x:c r="A178" s="1" t="str">
        <x:v>O0173</x:v>
      </x:c>
      <x:c r="B178" s="1" t="str">
        <x:v>Simulated Bengaluru University 173</x:v>
      </x:c>
      <x:c r="C178" s="1" t="str">
        <x:v>South</x:v>
      </x:c>
      <x:c r="D178" s="1" t="str">
        <x:v>Qualified</x:v>
      </x:c>
      <x:c r="E178" s="1" t="str">
        <x:v>Open</x:v>
      </x:c>
      <x:c r="F178" s="7" t="n">
        <x:v>420000</x:v>
      </x:c>
      <x:c r="G178" s="8" t="d">
        <x:v>2026-07-06T00:00:00.000Z</x:v>
      </x:c>
      <x:c r="H178" s="8" t="d">
        <x:v>2026-10-18T00:00:00.000Z</x:v>
      </x:c>
      <x:c r="I178" s="8"/>
      <x:c r="J178" s="7" t="n">
        <x:v>0</x:v>
      </x:c>
      <x:c r="K178" s="1" t="n">
        <x:v>57.19</x:v>
      </x:c>
      <x:c r="L178" s="1" t="n">
        <x:v>1</x:v>
      </x:c>
      <x:c r="M178" s="1" t="n">
        <x:v>64</x:v>
      </x:c>
      <x:c r="N178" s="1"/>
      <x:c r="O178" s="1"/>
      <x:c r="P178" s="1"/>
      <x:c r="Q178" s="1"/>
    </x:row>
    <x:row r="179" ht="22" customHeight="1">
      <x:c r="A179" s="1" t="str">
        <x:v>O0174</x:v>
      </x:c>
      <x:c r="B179" s="1" t="str">
        <x:v>Simulated Chennai University 174</x:v>
      </x:c>
      <x:c r="C179" s="1" t="str">
        <x:v>South</x:v>
      </x:c>
      <x:c r="D179" s="1" t="str">
        <x:v>Prospect Identified</x:v>
      </x:c>
      <x:c r="E179" s="1" t="str">
        <x:v>Open</x:v>
      </x:c>
      <x:c r="F179" s="7" t="n">
        <x:v>170000</x:v>
      </x:c>
      <x:c r="G179" s="8" t="d">
        <x:v>2026-07-02T00:00:00.000Z</x:v>
      </x:c>
      <x:c r="H179" s="8" t="d">
        <x:v>2026-11-16T00:00:00.000Z</x:v>
      </x:c>
      <x:c r="I179" s="8"/>
      <x:c r="J179" s="7" t="n">
        <x:v>0</x:v>
      </x:c>
      <x:c r="K179" s="1" t="n">
        <x:v>42.94</x:v>
      </x:c>
      <x:c r="L179" s="1" t="n">
        <x:v>1</x:v>
      </x:c>
      <x:c r="M179" s="1" t="n">
        <x:v>90</x:v>
      </x:c>
      <x:c r="N179" s="1"/>
      <x:c r="O179" s="1"/>
      <x:c r="P179" s="1"/>
      <x:c r="Q179" s="1"/>
    </x:row>
    <x:row r="180" ht="22" customHeight="1">
      <x:c r="A180" s="1" t="str">
        <x:v>O0175</x:v>
      </x:c>
      <x:c r="B180" s="1" t="str">
        <x:v>Simulated Hyderabad Management Institute 175</x:v>
      </x:c>
      <x:c r="C180" s="1" t="str">
        <x:v>South</x:v>
      </x:c>
      <x:c r="D180" s="1" t="str">
        <x:v>Closed Lost</x:v>
      </x:c>
      <x:c r="E180" s="1" t="str">
        <x:v>Lost</x:v>
      </x:c>
      <x:c r="F180" s="7" t="n">
        <x:v>153000</x:v>
      </x:c>
      <x:c r="G180" s="8" t="d">
        <x:v>2025-11-25T00:00:00.000Z</x:v>
      </x:c>
      <x:c r="H180" s="8" t="d">
        <x:v>2026-04-16T00:00:00.000Z</x:v>
      </x:c>
      <x:c r="I180" s="8" t="d">
        <x:v>2025-12-15T00:00:00.000Z</x:v>
      </x:c>
      <x:c r="J180" s="7" t="n">
        <x:v>0</x:v>
      </x:c>
      <x:c r="K180" s="1" t="n">
        <x:v>0</x:v>
      </x:c>
      <x:c r="L180" s="1" t="n">
        <x:v>0</x:v>
      </x:c>
      <x:c r="M180" s="1" t="n">
        <x:v>289</x:v>
      </x:c>
      <x:c r="N180" s="1"/>
      <x:c r="O180" s="1"/>
      <x:c r="P180" s="1"/>
      <x:c r="Q180" s="1"/>
    </x:row>
    <x:row r="181" ht="22" customHeight="1">
      <x:c r="A181" s="1" t="str">
        <x:v>O0176</x:v>
      </x:c>
      <x:c r="B181" s="1" t="str">
        <x:v>Simulated Kolkata Engineering College 176</x:v>
      </x:c>
      <x:c r="C181" s="1" t="str">
        <x:v>East</x:v>
      </x:c>
      <x:c r="D181" s="1" t="str">
        <x:v>Initial Contact</x:v>
      </x:c>
      <x:c r="E181" s="1" t="str">
        <x:v>Open</x:v>
      </x:c>
      <x:c r="F181" s="7" t="n">
        <x:v>318000</x:v>
      </x:c>
      <x:c r="G181" s="8" t="d">
        <x:v>2026-05-20T00:00:00.000Z</x:v>
      </x:c>
      <x:c r="H181" s="8" t="d">
        <x:v>2026-09-08T00:00:00.000Z</x:v>
      </x:c>
      <x:c r="I181" s="8"/>
      <x:c r="J181" s="7" t="n">
        <x:v>0</x:v>
      </x:c>
      <x:c r="K181" s="1" t="n">
        <x:v>47.97</x:v>
      </x:c>
      <x:c r="L181" s="1" t="n">
        <x:v>1</x:v>
      </x:c>
      <x:c r="M181" s="1" t="n">
        <x:v>114</x:v>
      </x:c>
      <x:c r="N181" s="1"/>
      <x:c r="O181" s="1"/>
      <x:c r="P181" s="1"/>
      <x:c r="Q181" s="1"/>
    </x:row>
    <x:row r="182" ht="22" customHeight="1">
      <x:c r="A182" s="1" t="str">
        <x:v>O0177</x:v>
      </x:c>
      <x:c r="B182" s="1" t="str">
        <x:v>Simulated Bhubaneswar Management Institute 177</x:v>
      </x:c>
      <x:c r="C182" s="1" t="str">
        <x:v>East</x:v>
      </x:c>
      <x:c r="D182" s="1" t="str">
        <x:v>Closed Lost</x:v>
      </x:c>
      <x:c r="E182" s="1" t="str">
        <x:v>Lost</x:v>
      </x:c>
      <x:c r="F182" s="7" t="n">
        <x:v>109000</x:v>
      </x:c>
      <x:c r="G182" s="8" t="d">
        <x:v>2026-05-03T00:00:00.000Z</x:v>
      </x:c>
      <x:c r="H182" s="8" t="d">
        <x:v>2026-08-30T00:00:00.000Z</x:v>
      </x:c>
      <x:c r="I182" s="8" t="d">
        <x:v>2026-07-24T00:00:00.000Z</x:v>
      </x:c>
      <x:c r="J182" s="7" t="n">
        <x:v>0</x:v>
      </x:c>
      <x:c r="K182" s="1" t="n">
        <x:v>0</x:v>
      </x:c>
      <x:c r="L182" s="1" t="n">
        <x:v>0</x:v>
      </x:c>
      <x:c r="M182" s="1" t="n">
        <x:v>68</x:v>
      </x:c>
      <x:c r="N182" s="1"/>
      <x:c r="O182" s="1"/>
      <x:c r="P182" s="1"/>
      <x:c r="Q182" s="1"/>
    </x:row>
    <x:row r="183" ht="22" customHeight="1">
      <x:c r="A183" s="1" t="str">
        <x:v>O0178</x:v>
      </x:c>
      <x:c r="B183" s="1" t="str">
        <x:v>Simulated Patna University 178</x:v>
      </x:c>
      <x:c r="C183" s="1" t="str">
        <x:v>East</x:v>
      </x:c>
      <x:c r="D183" s="1" t="str">
        <x:v>Qualified</x:v>
      </x:c>
      <x:c r="E183" s="1" t="str">
        <x:v>Open</x:v>
      </x:c>
      <x:c r="F183" s="7" t="n">
        <x:v>150000</x:v>
      </x:c>
      <x:c r="G183" s="8" t="d">
        <x:v>2026-05-09T00:00:00.000Z</x:v>
      </x:c>
      <x:c r="H183" s="8" t="d">
        <x:v>2026-09-29T00:00:00.000Z</x:v>
      </x:c>
      <x:c r="I183" s="8"/>
      <x:c r="J183" s="7" t="n">
        <x:v>0</x:v>
      </x:c>
      <x:c r="K183" s="1" t="n">
        <x:v>46.8</x:v>
      </x:c>
      <x:c r="L183" s="1" t="n">
        <x:v>0</x:v>
      </x:c>
      <x:c r="M183" s="1" t="n">
        <x:v>128</x:v>
      </x:c>
      <x:c r="N183" s="1"/>
      <x:c r="O183" s="1"/>
      <x:c r="P183" s="1"/>
      <x:c r="Q183" s="1"/>
    </x:row>
    <x:row r="184" ht="22" customHeight="1">
      <x:c r="A184" s="1" t="str">
        <x:v>O0179</x:v>
      </x:c>
      <x:c r="B184" s="1" t="str">
        <x:v>Simulated Guwahati Arts and Science College 179</x:v>
      </x:c>
      <x:c r="C184" s="1" t="str">
        <x:v>Northeast</x:v>
      </x:c>
      <x:c r="D184" s="1" t="str">
        <x:v>Proposal Sent</x:v>
      </x:c>
      <x:c r="E184" s="1" t="str">
        <x:v>Open</x:v>
      </x:c>
      <x:c r="F184" s="7" t="n">
        <x:v>311000</x:v>
      </x:c>
      <x:c r="G184" s="8" t="d">
        <x:v>2026-04-16T00:00:00.000Z</x:v>
      </x:c>
      <x:c r="H184" s="8" t="d">
        <x:v>2026-08-04T00:00:00.000Z</x:v>
      </x:c>
      <x:c r="I184" s="8"/>
      <x:c r="J184" s="7" t="n">
        <x:v>0</x:v>
      </x:c>
      <x:c r="K184" s="1" t="n">
        <x:v>51.02</x:v>
      </x:c>
      <x:c r="L184" s="1" t="n">
        <x:v>1</x:v>
      </x:c>
      <x:c r="M184" s="1" t="n">
        <x:v>83</x:v>
      </x:c>
      <x:c r="N184" s="1"/>
      <x:c r="O184" s="1"/>
      <x:c r="P184" s="1"/>
      <x:c r="Q184" s="1"/>
    </x:row>
    <x:row r="185" ht="22" customHeight="1">
      <x:c r="A185" s="1" t="str">
        <x:v>O0180</x:v>
      </x:c>
      <x:c r="B185" s="1" t="str">
        <x:v>Simulated Indore Arts and Science College 180</x:v>
      </x:c>
      <x:c r="C185" s="1" t="str">
        <x:v>Central</x:v>
      </x:c>
      <x:c r="D185" s="1" t="str">
        <x:v>Negotiation</x:v>
      </x:c>
      <x:c r="E185" s="1" t="str">
        <x:v>Open</x:v>
      </x:c>
      <x:c r="F185" s="7" t="n">
        <x:v>231000</x:v>
      </x:c>
      <x:c r="G185" s="8" t="d">
        <x:v>2026-01-26T00:00:00.000Z</x:v>
      </x:c>
      <x:c r="H185" s="8" t="d">
        <x:v>2026-06-17T00:00:00.000Z</x:v>
      </x:c>
      <x:c r="I185" s="8"/>
      <x:c r="J185" s="7" t="n">
        <x:v>0</x:v>
      </x:c>
      <x:c r="K185" s="1" t="n">
        <x:v>55.45</x:v>
      </x:c>
      <x:c r="L185" s="1" t="n">
        <x:v>1</x:v>
      </x:c>
      <x:c r="M185" s="1" t="n">
        <x:v>115</x:v>
      </x:c>
      <x:c r="N185" s="1"/>
      <x:c r="O185" s="1"/>
      <x:c r="P185" s="1"/>
      <x:c r="Q185" s="1"/>
    </x:row>
    <x:row r="186" ht="22" customHeight="1">
      <x:c r="A186" s="1" t="str">
        <x:v>O0181</x:v>
      </x:c>
      <x:c r="B186" s="1" t="str">
        <x:v>Simulated New Delhi University 181</x:v>
      </x:c>
      <x:c r="C186" s="1" t="str">
        <x:v>North</x:v>
      </x:c>
      <x:c r="D186" s="1" t="str">
        <x:v>Prospect Identified</x:v>
      </x:c>
      <x:c r="E186" s="1" t="str">
        <x:v>Open</x:v>
      </x:c>
      <x:c r="F186" s="7" t="n">
        <x:v>623000</x:v>
      </x:c>
      <x:c r="G186" s="8" t="d">
        <x:v>2026-04-07T00:00:00.000Z</x:v>
      </x:c>
      <x:c r="H186" s="8" t="d">
        <x:v>2026-08-27T00:00:00.000Z</x:v>
      </x:c>
      <x:c r="I186" s="8"/>
      <x:c r="J186" s="7" t="n">
        <x:v>0</x:v>
      </x:c>
      <x:c r="K186" s="1" t="n">
        <x:v>61.08</x:v>
      </x:c>
      <x:c r="L186" s="1" t="n">
        <x:v>1</x:v>
      </x:c>
      <x:c r="M186" s="1" t="n">
        <x:v>176</x:v>
      </x:c>
      <x:c r="N186" s="1"/>
      <x:c r="O186" s="1"/>
      <x:c r="P186" s="1"/>
      <x:c r="Q186" s="1"/>
    </x:row>
    <x:row r="187" ht="22" customHeight="1">
      <x:c r="A187" s="1" t="str">
        <x:v>O0182</x:v>
      </x:c>
      <x:c r="B187" s="1" t="str">
        <x:v>Simulated Noida Arts and Science College 182</x:v>
      </x:c>
      <x:c r="C187" s="1" t="str">
        <x:v>North</x:v>
      </x:c>
      <x:c r="D187" s="1" t="str">
        <x:v>Closed Won</x:v>
      </x:c>
      <x:c r="E187" s="1" t="str">
        <x:v>Won</x:v>
      </x:c>
      <x:c r="F187" s="7" t="n">
        <x:v>285000</x:v>
      </x:c>
      <x:c r="G187" s="8" t="d">
        <x:v>2025-11-11T00:00:00.000Z</x:v>
      </x:c>
      <x:c r="H187" s="8" t="d">
        <x:v>2026-03-21T00:00:00.000Z</x:v>
      </x:c>
      <x:c r="I187" s="8" t="d">
        <x:v>2026-02-22T00:00:00.000Z</x:v>
      </x:c>
      <x:c r="J187" s="7" t="n">
        <x:v>172561.64</x:v>
      </x:c>
      <x:c r="K187" s="1" t="n">
        <x:v>0</x:v>
      </x:c>
      <x:c r="L187" s="1" t="n">
        <x:v>0</x:v>
      </x:c>
      <x:c r="M187" s="1" t="n">
        <x:v>220</x:v>
      </x:c>
      <x:c r="N187" s="1"/>
      <x:c r="O187" s="1"/>
      <x:c r="P187" s="1"/>
      <x:c r="Q187" s="1"/>
    </x:row>
    <x:row r="188" ht="22" customHeight="1">
      <x:c r="A188" s="1" t="str">
        <x:v>O0183</x:v>
      </x:c>
      <x:c r="B188" s="1" t="str">
        <x:v>Simulated Gurugram Engineering College 183</x:v>
      </x:c>
      <x:c r="C188" s="1" t="str">
        <x:v>North</x:v>
      </x:c>
      <x:c r="D188" s="1" t="str">
        <x:v>Closed Lost</x:v>
      </x:c>
      <x:c r="E188" s="1" t="str">
        <x:v>Lost</x:v>
      </x:c>
      <x:c r="F188" s="7" t="n">
        <x:v>237000</x:v>
      </x:c>
      <x:c r="G188" s="8" t="d">
        <x:v>2026-04-24T00:00:00.000Z</x:v>
      </x:c>
      <x:c r="H188" s="8" t="d">
        <x:v>2026-08-08T00:00:00.000Z</x:v>
      </x:c>
      <x:c r="I188" s="8" t="d">
        <x:v>2026-06-04T00:00:00.000Z</x:v>
      </x:c>
      <x:c r="J188" s="7" t="n">
        <x:v>0</x:v>
      </x:c>
      <x:c r="K188" s="1" t="n">
        <x:v>0</x:v>
      </x:c>
      <x:c r="L188" s="1" t="n">
        <x:v>0</x:v>
      </x:c>
      <x:c r="M188" s="1" t="n">
        <x:v>118</x:v>
      </x:c>
      <x:c r="N188" s="1"/>
      <x:c r="O188" s="1"/>
      <x:c r="P188" s="1"/>
      <x:c r="Q188" s="1"/>
    </x:row>
    <x:row r="189" ht="22" customHeight="1">
      <x:c r="A189" s="1" t="str">
        <x:v>O0184</x:v>
      </x:c>
      <x:c r="B189" s="1" t="str">
        <x:v>Simulated Ludhiana Engineering College 184</x:v>
      </x:c>
      <x:c r="C189" s="1" t="str">
        <x:v>North</x:v>
      </x:c>
      <x:c r="D189" s="1" t="str">
        <x:v>Closed Lost</x:v>
      </x:c>
      <x:c r="E189" s="1" t="str">
        <x:v>Lost</x:v>
      </x:c>
      <x:c r="F189" s="7" t="n">
        <x:v>227000</x:v>
      </x:c>
      <x:c r="G189" s="8" t="d">
        <x:v>2025-11-05T00:00:00.000Z</x:v>
      </x:c>
      <x:c r="H189" s="8" t="d">
        <x:v>2026-02-09T00:00:00.000Z</x:v>
      </x:c>
      <x:c r="I189" s="8" t="d">
        <x:v>2026-03-12T00:00:00.000Z</x:v>
      </x:c>
      <x:c r="J189" s="7" t="n">
        <x:v>0</x:v>
      </x:c>
      <x:c r="K189" s="1" t="n">
        <x:v>0</x:v>
      </x:c>
      <x:c r="L189" s="1" t="n">
        <x:v>0</x:v>
      </x:c>
      <x:c r="M189" s="1" t="n">
        <x:v>202</x:v>
      </x:c>
      <x:c r="N189" s="1"/>
      <x:c r="O189" s="1"/>
      <x:c r="P189" s="1"/>
      <x:c r="Q189" s="1"/>
    </x:row>
    <x:row r="190" ht="22" customHeight="1">
      <x:c r="A190" s="1" t="str">
        <x:v>O0185</x:v>
      </x:c>
      <x:c r="B190" s="1" t="str">
        <x:v>Simulated Pune University 185</x:v>
      </x:c>
      <x:c r="C190" s="1" t="str">
        <x:v>West</x:v>
      </x:c>
      <x:c r="D190" s="1" t="str">
        <x:v>Prospect Identified</x:v>
      </x:c>
      <x:c r="E190" s="1" t="str">
        <x:v>Open</x:v>
      </x:c>
      <x:c r="F190" s="7" t="n">
        <x:v>114000</x:v>
      </x:c>
      <x:c r="G190" s="8" t="d">
        <x:v>2026-09-12T00:00:00.000Z</x:v>
      </x:c>
      <x:c r="H190" s="8" t="d">
        <x:v>2026-12-19T00:00:00.000Z</x:v>
      </x:c>
      <x:c r="I190" s="8"/>
      <x:c r="J190" s="7" t="n">
        <x:v>0</x:v>
      </x:c>
      <x:c r="K190" s="1" t="n">
        <x:v>45.58</x:v>
      </x:c>
      <x:c r="L190" s="1" t="n">
        <x:v>0</x:v>
      </x:c>
      <x:c r="M190" s="1" t="n">
        <x:v>18</x:v>
      </x:c>
      <x:c r="N190" s="1"/>
      <x:c r="O190" s="1"/>
      <x:c r="P190" s="1"/>
      <x:c r="Q190" s="1"/>
    </x:row>
    <x:row r="191" ht="22" customHeight="1">
      <x:c r="A191" s="1" t="str">
        <x:v>O0186</x:v>
      </x:c>
      <x:c r="B191" s="1" t="str">
        <x:v>Simulated Ahmedabad Engineering College 186</x:v>
      </x:c>
      <x:c r="C191" s="1" t="str">
        <x:v>West</x:v>
      </x:c>
      <x:c r="D191" s="1" t="str">
        <x:v>Closed Won</x:v>
      </x:c>
      <x:c r="E191" s="1" t="str">
        <x:v>Won</x:v>
      </x:c>
      <x:c r="F191" s="7" t="n">
        <x:v>349000</x:v>
      </x:c>
      <x:c r="G191" s="8" t="d">
        <x:v>2025-10-30T00:00:00.000Z</x:v>
      </x:c>
      <x:c r="H191" s="8" t="d">
        <x:v>2026-01-18T00:00:00.000Z</x:v>
      </x:c>
      <x:c r="I191" s="8" t="d">
        <x:v>2026-03-19T00:00:00.000Z</x:v>
      </x:c>
      <x:c r="J191" s="7" t="n">
        <x:v>187408.22</x:v>
      </x:c>
      <x:c r="K191" s="1" t="n">
        <x:v>0</x:v>
      </x:c>
      <x:c r="L191" s="1" t="n">
        <x:v>0</x:v>
      </x:c>
      <x:c r="M191" s="1" t="n">
        <x:v>195</x:v>
      </x:c>
      <x:c r="N191" s="1"/>
      <x:c r="O191" s="1"/>
      <x:c r="P191" s="1"/>
      <x:c r="Q191" s="1"/>
    </x:row>
    <x:row r="192" ht="22" customHeight="1">
      <x:c r="A192" s="1" t="str">
        <x:v>O0187</x:v>
      </x:c>
      <x:c r="B192" s="1" t="str">
        <x:v>Simulated Jaipur Engineering College 187</x:v>
      </x:c>
      <x:c r="C192" s="1" t="str">
        <x:v>West</x:v>
      </x:c>
      <x:c r="D192" s="1" t="str">
        <x:v>Closed Won</x:v>
      </x:c>
      <x:c r="E192" s="1" t="str">
        <x:v>Won</x:v>
      </x:c>
      <x:c r="F192" s="7" t="n">
        <x:v>88000</x:v>
      </x:c>
      <x:c r="G192" s="8" t="d">
        <x:v>2026-05-31T00:00:00.000Z</x:v>
      </x:c>
      <x:c r="H192" s="8" t="d">
        <x:v>2026-10-12T00:00:00.000Z</x:v>
      </x:c>
      <x:c r="I192" s="8" t="d">
        <x:v>2026-09-24T00:00:00.000Z</x:v>
      </x:c>
      <x:c r="J192" s="7" t="n">
        <x:v>1687.67</x:v>
      </x:c>
      <x:c r="K192" s="1" t="n">
        <x:v>0</x:v>
      </x:c>
      <x:c r="L192" s="1" t="n">
        <x:v>0</x:v>
      </x:c>
      <x:c r="M192" s="1" t="n">
        <x:v>6</x:v>
      </x:c>
      <x:c r="N192" s="1"/>
      <x:c r="O192" s="1"/>
      <x:c r="P192" s="1"/>
      <x:c r="Q192" s="1"/>
    </x:row>
    <x:row r="193" ht="22" customHeight="1">
      <x:c r="A193" s="1" t="str">
        <x:v>O0188</x:v>
      </x:c>
      <x:c r="B193" s="1" t="str">
        <x:v>Simulated Bengaluru Arts and Science College 188</x:v>
      </x:c>
      <x:c r="C193" s="1" t="str">
        <x:v>South</x:v>
      </x:c>
      <x:c r="D193" s="1" t="str">
        <x:v>Closed Won</x:v>
      </x:c>
      <x:c r="E193" s="1" t="str">
        <x:v>Won</x:v>
      </x:c>
      <x:c r="F193" s="7" t="n">
        <x:v>159000</x:v>
      </x:c>
      <x:c r="G193" s="8" t="d">
        <x:v>2026-02-15T00:00:00.000Z</x:v>
      </x:c>
      <x:c r="H193" s="8" t="d">
        <x:v>2026-06-10T00:00:00.000Z</x:v>
      </x:c>
      <x:c r="I193" s="8" t="d">
        <x:v>2026-06-26T00:00:00.000Z</x:v>
      </x:c>
      <x:c r="J193" s="7" t="n">
        <x:v>42254.79</x:v>
      </x:c>
      <x:c r="K193" s="1" t="n">
        <x:v>0</x:v>
      </x:c>
      <x:c r="L193" s="1" t="n">
        <x:v>0</x:v>
      </x:c>
      <x:c r="M193" s="1" t="n">
        <x:v>96</x:v>
      </x:c>
      <x:c r="N193" s="1"/>
      <x:c r="O193" s="1"/>
      <x:c r="P193" s="1"/>
      <x:c r="Q193" s="1"/>
    </x:row>
    <x:row r="194" ht="22" customHeight="1">
      <x:c r="A194" s="1" t="str">
        <x:v>O0189</x:v>
      </x:c>
      <x:c r="B194" s="1" t="str">
        <x:v>Simulated Chennai University 189</x:v>
      </x:c>
      <x:c r="C194" s="1" t="str">
        <x:v>South</x:v>
      </x:c>
      <x:c r="D194" s="1" t="str">
        <x:v>Initial Contact</x:v>
      </x:c>
      <x:c r="E194" s="1" t="str">
        <x:v>Open</x:v>
      </x:c>
      <x:c r="F194" s="7" t="n">
        <x:v>672000</x:v>
      </x:c>
      <x:c r="G194" s="8" t="d">
        <x:v>2026-07-26T00:00:00.000Z</x:v>
      </x:c>
      <x:c r="H194" s="8" t="d">
        <x:v>2026-12-22T00:00:00.000Z</x:v>
      </x:c>
      <x:c r="I194" s="8"/>
      <x:c r="J194" s="7" t="n">
        <x:v>0</x:v>
      </x:c>
      <x:c r="K194" s="1" t="n">
        <x:v>66.42</x:v>
      </x:c>
      <x:c r="L194" s="1" t="n">
        <x:v>1</x:v>
      </x:c>
      <x:c r="M194" s="1" t="n">
        <x:v>9</x:v>
      </x:c>
      <x:c r="N194" s="1"/>
      <x:c r="O194" s="1"/>
      <x:c r="P194" s="1"/>
      <x:c r="Q194" s="1"/>
    </x:row>
    <x:row r="195" ht="22" customHeight="1">
      <x:c r="A195" s="1" t="str">
        <x:v>O0190</x:v>
      </x:c>
      <x:c r="B195" s="1" t="str">
        <x:v>Simulated Hyderabad Engineering College 190</x:v>
      </x:c>
      <x:c r="C195" s="1" t="str">
        <x:v>South</x:v>
      </x:c>
      <x:c r="D195" s="1" t="str">
        <x:v>Proposal Sent</x:v>
      </x:c>
      <x:c r="E195" s="1" t="str">
        <x:v>Open</x:v>
      </x:c>
      <x:c r="F195" s="7" t="n">
        <x:v>163000</x:v>
      </x:c>
      <x:c r="G195" s="8" t="d">
        <x:v>2026-07-06T00:00:00.000Z</x:v>
      </x:c>
      <x:c r="H195" s="8" t="d">
        <x:v>2026-11-17T00:00:00.000Z</x:v>
      </x:c>
      <x:c r="I195" s="8"/>
      <x:c r="J195" s="7" t="n">
        <x:v>0</x:v>
      </x:c>
      <x:c r="K195" s="1" t="n">
        <x:v>57.88</x:v>
      </x:c>
      <x:c r="L195" s="1" t="n">
        <x:v>0</x:v>
      </x:c>
      <x:c r="M195" s="1" t="n">
        <x:v>2</x:v>
      </x:c>
      <x:c r="N195" s="1"/>
      <x:c r="O195" s="1"/>
      <x:c r="P195" s="1"/>
      <x:c r="Q195" s="1"/>
    </x:row>
    <x:row r="196" ht="22" customHeight="1">
      <x:c r="A196" s="1" t="str">
        <x:v>O0191</x:v>
      </x:c>
      <x:c r="B196" s="1" t="str">
        <x:v>Simulated Kolkata Arts and Science College 191</x:v>
      </x:c>
      <x:c r="C196" s="1" t="str">
        <x:v>East</x:v>
      </x:c>
      <x:c r="D196" s="1" t="str">
        <x:v>Initial Contact</x:v>
      </x:c>
      <x:c r="E196" s="1" t="str">
        <x:v>Open</x:v>
      </x:c>
      <x:c r="F196" s="7" t="n">
        <x:v>128000</x:v>
      </x:c>
      <x:c r="G196" s="8" t="d">
        <x:v>2026-08-24T00:00:00.000Z</x:v>
      </x:c>
      <x:c r="H196" s="8" t="d">
        <x:v>2026-12-28T00:00:00.000Z</x:v>
      </x:c>
      <x:c r="I196" s="8"/>
      <x:c r="J196" s="7" t="n">
        <x:v>0</x:v>
      </x:c>
      <x:c r="K196" s="1" t="n">
        <x:v>45.43</x:v>
      </x:c>
      <x:c r="L196" s="1" t="n">
        <x:v>0</x:v>
      </x:c>
      <x:c r="M196" s="1" t="n">
        <x:v>4</x:v>
      </x:c>
      <x:c r="N196" s="1"/>
      <x:c r="O196" s="1"/>
      <x:c r="P196" s="1"/>
      <x:c r="Q196" s="1"/>
    </x:row>
    <x:row r="197" ht="22" customHeight="1">
      <x:c r="A197" s="1" t="str">
        <x:v>O0192</x:v>
      </x:c>
      <x:c r="B197" s="1" t="str">
        <x:v>Simulated Bhubaneswar Engineering College 192</x:v>
      </x:c>
      <x:c r="C197" s="1" t="str">
        <x:v>East</x:v>
      </x:c>
      <x:c r="D197" s="1" t="str">
        <x:v>Prospect Identified</x:v>
      </x:c>
      <x:c r="E197" s="1" t="str">
        <x:v>Open</x:v>
      </x:c>
      <x:c r="F197" s="7" t="n">
        <x:v>290000</x:v>
      </x:c>
      <x:c r="G197" s="8" t="d">
        <x:v>2026-02-23T00:00:00.000Z</x:v>
      </x:c>
      <x:c r="H197" s="8" t="d">
        <x:v>2026-07-11T00:00:00.000Z</x:v>
      </x:c>
      <x:c r="I197" s="8"/>
      <x:c r="J197" s="7" t="n">
        <x:v>0</x:v>
      </x:c>
      <x:c r="K197" s="1" t="n">
        <x:v>37.84</x:v>
      </x:c>
      <x:c r="L197" s="1" t="n">
        <x:v>1</x:v>
      </x:c>
      <x:c r="M197" s="1" t="n">
        <x:v>219</x:v>
      </x:c>
      <x:c r="N197" s="1"/>
      <x:c r="O197" s="1"/>
      <x:c r="P197" s="1"/>
      <x:c r="Q197" s="1"/>
    </x:row>
    <x:row r="198" ht="22" customHeight="1">
      <x:c r="A198" s="1" t="str">
        <x:v>O0193</x:v>
      </x:c>
      <x:c r="B198" s="1" t="str">
        <x:v>Simulated Patna Arts and Science College 193</x:v>
      </x:c>
      <x:c r="C198" s="1" t="str">
        <x:v>East</x:v>
      </x:c>
      <x:c r="D198" s="1" t="str">
        <x:v>Meeting Scheduled</x:v>
      </x:c>
      <x:c r="E198" s="1" t="str">
        <x:v>Open</x:v>
      </x:c>
      <x:c r="F198" s="7" t="n">
        <x:v>187000</x:v>
      </x:c>
      <x:c r="G198" s="8" t="d">
        <x:v>2026-07-13T00:00:00.000Z</x:v>
      </x:c>
      <x:c r="H198" s="8" t="d">
        <x:v>2026-10-27T00:00:00.000Z</x:v>
      </x:c>
      <x:c r="I198" s="8"/>
      <x:c r="J198" s="7" t="n">
        <x:v>0</x:v>
      </x:c>
      <x:c r="K198" s="1" t="n">
        <x:v>50.89</x:v>
      </x:c>
      <x:c r="L198" s="1" t="n">
        <x:v>1</x:v>
      </x:c>
      <x:c r="M198" s="1" t="n">
        <x:v>23</x:v>
      </x:c>
      <x:c r="N198" s="1"/>
      <x:c r="O198" s="1"/>
      <x:c r="P198" s="1"/>
      <x:c r="Q198" s="1"/>
    </x:row>
    <x:row r="199" ht="22" customHeight="1">
      <x:c r="A199" s="1" t="str">
        <x:v>O0194</x:v>
      </x:c>
      <x:c r="B199" s="1" t="str">
        <x:v>Simulated Guwahati Arts and Science College 194</x:v>
      </x:c>
      <x:c r="C199" s="1" t="str">
        <x:v>Northeast</x:v>
      </x:c>
      <x:c r="D199" s="1" t="str">
        <x:v>Qualified</x:v>
      </x:c>
      <x:c r="E199" s="1" t="str">
        <x:v>Open</x:v>
      </x:c>
      <x:c r="F199" s="7" t="n">
        <x:v>155000</x:v>
      </x:c>
      <x:c r="G199" s="8" t="d">
        <x:v>2026-08-19T00:00:00.000Z</x:v>
      </x:c>
      <x:c r="H199" s="8" t="d">
        <x:v>2026-12-09T00:00:00.000Z</x:v>
      </x:c>
      <x:c r="I199" s="8"/>
      <x:c r="J199" s="7" t="n">
        <x:v>0</x:v>
      </x:c>
      <x:c r="K199" s="1" t="n">
        <x:v>41.37</x:v>
      </x:c>
      <x:c r="L199" s="1" t="n">
        <x:v>0</x:v>
      </x:c>
      <x:c r="M199" s="1" t="n">
        <x:v>14</x:v>
      </x:c>
      <x:c r="N199" s="1"/>
      <x:c r="O199" s="1"/>
      <x:c r="P199" s="1"/>
      <x:c r="Q199" s="1"/>
    </x:row>
    <x:row r="200" ht="22" customHeight="1">
      <x:c r="A200" s="1" t="str">
        <x:v>O0195</x:v>
      </x:c>
      <x:c r="B200" s="1" t="str">
        <x:v>Simulated Indore University 195</x:v>
      </x:c>
      <x:c r="C200" s="1" t="str">
        <x:v>Central</x:v>
      </x:c>
      <x:c r="D200" s="1" t="str">
        <x:v>Closed Lost</x:v>
      </x:c>
      <x:c r="E200" s="1" t="str">
        <x:v>Lost</x:v>
      </x:c>
      <x:c r="F200" s="7" t="n">
        <x:v>444000</x:v>
      </x:c>
      <x:c r="G200" s="8" t="d">
        <x:v>2025-11-07T00:00:00.000Z</x:v>
      </x:c>
      <x:c r="H200" s="8" t="d">
        <x:v>2026-01-29T00:00:00.000Z</x:v>
      </x:c>
      <x:c r="I200" s="8" t="d">
        <x:v>2026-02-12T00:00:00.000Z</x:v>
      </x:c>
      <x:c r="J200" s="7" t="n">
        <x:v>0</x:v>
      </x:c>
      <x:c r="K200" s="1" t="n">
        <x:v>0</x:v>
      </x:c>
      <x:c r="L200" s="1" t="n">
        <x:v>0</x:v>
      </x:c>
      <x:c r="M200" s="1" t="n">
        <x:v>230</x:v>
      </x:c>
      <x:c r="N200" s="1"/>
      <x:c r="O200" s="1"/>
      <x:c r="P200" s="1"/>
      <x:c r="Q200" s="1"/>
    </x:row>
    <x:row r="201" ht="22" customHeight="1">
      <x:c r="A201" s="1" t="str">
        <x:v>O0196</x:v>
      </x:c>
      <x:c r="B201" s="1" t="str">
        <x:v>Simulated New Delhi Engineering College 196</x:v>
      </x:c>
      <x:c r="C201" s="1" t="str">
        <x:v>North</x:v>
      </x:c>
      <x:c r="D201" s="1" t="str">
        <x:v>Qualified</x:v>
      </x:c>
      <x:c r="E201" s="1" t="str">
        <x:v>Open</x:v>
      </x:c>
      <x:c r="F201" s="7" t="n">
        <x:v>312000</x:v>
      </x:c>
      <x:c r="G201" s="8" t="d">
        <x:v>2026-02-08T00:00:00.000Z</x:v>
      </x:c>
      <x:c r="H201" s="8" t="d">
        <x:v>2026-06-29T00:00:00.000Z</x:v>
      </x:c>
      <x:c r="I201" s="8"/>
      <x:c r="J201" s="7" t="n">
        <x:v>0</x:v>
      </x:c>
      <x:c r="K201" s="1" t="n">
        <x:v>53.17</x:v>
      </x:c>
      <x:c r="L201" s="1" t="n">
        <x:v>0</x:v>
      </x:c>
      <x:c r="M201" s="1" t="n">
        <x:v>227</x:v>
      </x:c>
      <x:c r="N201" s="1"/>
      <x:c r="O201" s="1"/>
      <x:c r="P201" s="1"/>
      <x:c r="Q201" s="1"/>
    </x:row>
    <x:row r="202" ht="22" customHeight="1">
      <x:c r="A202" s="1" t="str">
        <x:v>O0197</x:v>
      </x:c>
      <x:c r="B202" s="1" t="str">
        <x:v>Simulated Noida Arts and Science College 197</x:v>
      </x:c>
      <x:c r="C202" s="1" t="str">
        <x:v>North</x:v>
      </x:c>
      <x:c r="D202" s="1" t="str">
        <x:v>Qualified</x:v>
      </x:c>
      <x:c r="E202" s="1" t="str">
        <x:v>Open</x:v>
      </x:c>
      <x:c r="F202" s="7" t="n">
        <x:v>213000</x:v>
      </x:c>
      <x:c r="G202" s="8" t="d">
        <x:v>2026-02-19T00:00:00.000Z</x:v>
      </x:c>
      <x:c r="H202" s="8" t="d">
        <x:v>2026-06-15T00:00:00.000Z</x:v>
      </x:c>
      <x:c r="I202" s="8"/>
      <x:c r="J202" s="7" t="n">
        <x:v>0</x:v>
      </x:c>
      <x:c r="K202" s="1" t="n">
        <x:v>38.67</x:v>
      </x:c>
      <x:c r="L202" s="1" t="n">
        <x:v>1</x:v>
      </x:c>
      <x:c r="M202" s="1" t="n">
        <x:v>203</x:v>
      </x:c>
      <x:c r="N202" s="1"/>
      <x:c r="O202" s="1"/>
      <x:c r="P202" s="1"/>
      <x:c r="Q202" s="1"/>
    </x:row>
    <x:row r="203" ht="22" customHeight="1">
      <x:c r="A203" s="1" t="str">
        <x:v>O0198</x:v>
      </x:c>
      <x:c r="B203" s="1" t="str">
        <x:v>Simulated Gurugram Arts and Science College 198</x:v>
      </x:c>
      <x:c r="C203" s="1" t="str">
        <x:v>North</x:v>
      </x:c>
      <x:c r="D203" s="1" t="str">
        <x:v>Proposal Sent</x:v>
      </x:c>
      <x:c r="E203" s="1" t="str">
        <x:v>Open</x:v>
      </x:c>
      <x:c r="F203" s="7" t="n">
        <x:v>253000</x:v>
      </x:c>
      <x:c r="G203" s="8" t="d">
        <x:v>2025-11-28T00:00:00.000Z</x:v>
      </x:c>
      <x:c r="H203" s="8" t="d">
        <x:v>2026-04-03T00:00:00.000Z</x:v>
      </x:c>
      <x:c r="I203" s="8"/>
      <x:c r="J203" s="7" t="n">
        <x:v>0</x:v>
      </x:c>
      <x:c r="K203" s="1" t="n">
        <x:v>56.5</x:v>
      </x:c>
      <x:c r="L203" s="1" t="n">
        <x:v>0</x:v>
      </x:c>
      <x:c r="M203" s="1" t="n">
        <x:v>219</x:v>
      </x:c>
      <x:c r="N203" s="1"/>
      <x:c r="O203" s="1"/>
      <x:c r="P203" s="1"/>
      <x:c r="Q203" s="1"/>
    </x:row>
    <x:row r="204" ht="22" customHeight="1">
      <x:c r="A204" s="1" t="str">
        <x:v>O0199</x:v>
      </x:c>
      <x:c r="B204" s="1" t="str">
        <x:v>Simulated Ludhiana Management Institute 199</x:v>
      </x:c>
      <x:c r="C204" s="1" t="str">
        <x:v>North</x:v>
      </x:c>
      <x:c r="D204" s="1" t="str">
        <x:v>Closed Lost</x:v>
      </x:c>
      <x:c r="E204" s="1" t="str">
        <x:v>Lost</x:v>
      </x:c>
      <x:c r="F204" s="7" t="n">
        <x:v>334000</x:v>
      </x:c>
      <x:c r="G204" s="8" t="d">
        <x:v>2025-10-09T00:00:00.000Z</x:v>
      </x:c>
      <x:c r="H204" s="8" t="d">
        <x:v>2026-01-04T00:00:00.000Z</x:v>
      </x:c>
      <x:c r="I204" s="8" t="d">
        <x:v>2025-10-17T00:00:00.000Z</x:v>
      </x:c>
      <x:c r="J204" s="7" t="n">
        <x:v>0</x:v>
      </x:c>
      <x:c r="K204" s="1" t="n">
        <x:v>0</x:v>
      </x:c>
      <x:c r="L204" s="1" t="n">
        <x:v>0</x:v>
      </x:c>
      <x:c r="M204" s="1" t="n">
        <x:v>348</x:v>
      </x:c>
      <x:c r="N204" s="1"/>
      <x:c r="O204" s="1"/>
      <x:c r="P204" s="1"/>
      <x:c r="Q204" s="1"/>
    </x:row>
    <x:row r="205" ht="22" customHeight="1">
      <x:c r="A205" s="1" t="str">
        <x:v>O0200</x:v>
      </x:c>
      <x:c r="B205" s="1" t="str">
        <x:v>Simulated Pune University 200</x:v>
      </x:c>
      <x:c r="C205" s="1" t="str">
        <x:v>West</x:v>
      </x:c>
      <x:c r="D205" s="1" t="str">
        <x:v>Closed Won</x:v>
      </x:c>
      <x:c r="E205" s="1" t="str">
        <x:v>Won</x:v>
      </x:c>
      <x:c r="F205" s="7" t="n">
        <x:v>259000</x:v>
      </x:c>
      <x:c r="G205" s="8" t="d">
        <x:v>2026-05-17T00:00:00.000Z</x:v>
      </x:c>
      <x:c r="H205" s="8" t="d">
        <x:v>2026-09-03T00:00:00.000Z</x:v>
      </x:c>
      <x:c r="I205" s="8" t="d">
        <x:v>2026-09-22T00:00:00.000Z</x:v>
      </x:c>
      <x:c r="J205" s="7" t="n">
        <x:v>6386.3</x:v>
      </x:c>
      <x:c r="K205" s="1" t="n">
        <x:v>0</x:v>
      </x:c>
      <x:c r="L205" s="1" t="n">
        <x:v>0</x:v>
      </x:c>
      <x:c r="M205" s="1" t="n">
        <x:v>8</x:v>
      </x:c>
      <x:c r="N205" s="1"/>
      <x:c r="O205" s="1"/>
      <x:c r="P205" s="1"/>
      <x:c r="Q205" s="1"/>
    </x:row>
    <x:row r="206" ht="22" customHeight="1">
      <x:c r="A206" s="1" t="str">
        <x:v>O0201</x:v>
      </x:c>
      <x:c r="B206" s="1" t="str">
        <x:v>Simulated Ahmedabad Engineering College 201</x:v>
      </x:c>
      <x:c r="C206" s="1" t="str">
        <x:v>West</x:v>
      </x:c>
      <x:c r="D206" s="1" t="str">
        <x:v>Closed Lost</x:v>
      </x:c>
      <x:c r="E206" s="1" t="str">
        <x:v>Lost</x:v>
      </x:c>
      <x:c r="F206" s="7" t="n">
        <x:v>370000</x:v>
      </x:c>
      <x:c r="G206" s="8" t="d">
        <x:v>2026-05-13T00:00:00.000Z</x:v>
      </x:c>
      <x:c r="H206" s="8" t="d">
        <x:v>2026-08-30T00:00:00.000Z</x:v>
      </x:c>
      <x:c r="I206" s="8" t="d">
        <x:v>2026-07-30T00:00:00.000Z</x:v>
      </x:c>
      <x:c r="J206" s="7" t="n">
        <x:v>0</x:v>
      </x:c>
      <x:c r="K206" s="1" t="n">
        <x:v>0</x:v>
      </x:c>
      <x:c r="L206" s="1" t="n">
        <x:v>0</x:v>
      </x:c>
      <x:c r="M206" s="1" t="n">
        <x:v>62</x:v>
      </x:c>
      <x:c r="N206" s="1"/>
      <x:c r="O206" s="1"/>
      <x:c r="P206" s="1"/>
      <x:c r="Q206" s="1"/>
    </x:row>
    <x:row r="207" ht="22" customHeight="1">
      <x:c r="A207" s="1" t="str">
        <x:v>O0202</x:v>
      </x:c>
      <x:c r="B207" s="1" t="str">
        <x:v>Simulated Jaipur Management Institute 202</x:v>
      </x:c>
      <x:c r="C207" s="1" t="str">
        <x:v>West</x:v>
      </x:c>
      <x:c r="D207" s="1" t="str">
        <x:v>Prospect Identified</x:v>
      </x:c>
      <x:c r="E207" s="1" t="str">
        <x:v>Open</x:v>
      </x:c>
      <x:c r="F207" s="7" t="n">
        <x:v>220000</x:v>
      </x:c>
      <x:c r="G207" s="8" t="d">
        <x:v>2025-10-03T00:00:00.000Z</x:v>
      </x:c>
      <x:c r="H207" s="8" t="d">
        <x:v>2026-02-22T00:00:00.000Z</x:v>
      </x:c>
      <x:c r="I207" s="8"/>
      <x:c r="J207" s="7" t="n">
        <x:v>0</x:v>
      </x:c>
      <x:c r="K207" s="1" t="n">
        <x:v>45.66</x:v>
      </x:c>
      <x:c r="L207" s="1" t="n">
        <x:v>1</x:v>
      </x:c>
      <x:c r="M207" s="1" t="n">
        <x:v>362</x:v>
      </x:c>
      <x:c r="N207" s="1"/>
      <x:c r="O207" s="1"/>
      <x:c r="P207" s="1"/>
      <x:c r="Q207" s="1"/>
    </x:row>
    <x:row r="208" ht="22" customHeight="1">
      <x:c r="A208" s="1" t="str">
        <x:v>O0203</x:v>
      </x:c>
      <x:c r="B208" s="1" t="str">
        <x:v>Simulated Bengaluru Engineering College 203</x:v>
      </x:c>
      <x:c r="C208" s="1" t="str">
        <x:v>South</x:v>
      </x:c>
      <x:c r="D208" s="1" t="str">
        <x:v>Closed Lost</x:v>
      </x:c>
      <x:c r="E208" s="1" t="str">
        <x:v>Lost</x:v>
      </x:c>
      <x:c r="F208" s="7" t="n">
        <x:v>396000</x:v>
      </x:c>
      <x:c r="G208" s="8" t="d">
        <x:v>2025-10-13T00:00:00.000Z</x:v>
      </x:c>
      <x:c r="H208" s="8" t="d">
        <x:v>2026-02-15T00:00:00.000Z</x:v>
      </x:c>
      <x:c r="I208" s="8" t="d">
        <x:v>2026-01-23T00:00:00.000Z</x:v>
      </x:c>
      <x:c r="J208" s="7" t="n">
        <x:v>0</x:v>
      </x:c>
      <x:c r="K208" s="1" t="n">
        <x:v>0</x:v>
      </x:c>
      <x:c r="L208" s="1" t="n">
        <x:v>0</x:v>
      </x:c>
      <x:c r="M208" s="1" t="n">
        <x:v>250</x:v>
      </x:c>
      <x:c r="N208" s="1"/>
      <x:c r="O208" s="1"/>
      <x:c r="P208" s="1"/>
      <x:c r="Q208" s="1"/>
    </x:row>
    <x:row r="209" ht="22" customHeight="1">
      <x:c r="A209" s="1" t="str">
        <x:v>O0204</x:v>
      </x:c>
      <x:c r="B209" s="1" t="str">
        <x:v>Simulated Chennai University 204</x:v>
      </x:c>
      <x:c r="C209" s="1" t="str">
        <x:v>South</x:v>
      </x:c>
      <x:c r="D209" s="1" t="str">
        <x:v>Prospect Identified</x:v>
      </x:c>
      <x:c r="E209" s="1" t="str">
        <x:v>Open</x:v>
      </x:c>
      <x:c r="F209" s="7" t="n">
        <x:v>882000</x:v>
      </x:c>
      <x:c r="G209" s="8" t="d">
        <x:v>2026-09-29T00:00:00.000Z</x:v>
      </x:c>
      <x:c r="H209" s="8" t="d">
        <x:v>2027-02-11T00:00:00.000Z</x:v>
      </x:c>
      <x:c r="I209" s="8"/>
      <x:c r="J209" s="7" t="n">
        <x:v>0</x:v>
      </x:c>
      <x:c r="K209" s="1" t="n">
        <x:v>62</x:v>
      </x:c>
      <x:c r="L209" s="1" t="n">
        <x:v>0</x:v>
      </x:c>
      <x:c r="M209" s="1" t="n">
        <x:v>1</x:v>
      </x:c>
      <x:c r="N209" s="1"/>
      <x:c r="O209" s="1"/>
      <x:c r="P209" s="1"/>
      <x:c r="Q209" s="1"/>
    </x:row>
    <x:row r="210" ht="22" customHeight="1">
      <x:c r="A210" s="1" t="str">
        <x:v>O0205</x:v>
      </x:c>
      <x:c r="B210" s="1" t="str">
        <x:v>Simulated Hyderabad Management Institute 205</x:v>
      </x:c>
      <x:c r="C210" s="1" t="str">
        <x:v>South</x:v>
      </x:c>
      <x:c r="D210" s="1" t="str">
        <x:v>Prospect Identified</x:v>
      </x:c>
      <x:c r="E210" s="1" t="str">
        <x:v>Open</x:v>
      </x:c>
      <x:c r="F210" s="7" t="n">
        <x:v>90000</x:v>
      </x:c>
      <x:c r="G210" s="8" t="d">
        <x:v>2026-09-12T00:00:00.000Z</x:v>
      </x:c>
      <x:c r="H210" s="8" t="d">
        <x:v>2026-12-17T00:00:00.000Z</x:v>
      </x:c>
      <x:c r="I210" s="8"/>
      <x:c r="J210" s="7" t="n">
        <x:v>0</x:v>
      </x:c>
      <x:c r="K210" s="1" t="n">
        <x:v>34.61</x:v>
      </x:c>
      <x:c r="L210" s="1" t="n">
        <x:v>0</x:v>
      </x:c>
      <x:c r="M210" s="1" t="n">
        <x:v>18</x:v>
      </x:c>
      <x:c r="N210" s="1"/>
      <x:c r="O210" s="1"/>
      <x:c r="P210" s="1"/>
      <x:c r="Q210" s="1"/>
    </x:row>
    <x:row r="211" ht="22" customHeight="1">
      <x:c r="A211" s="1" t="str">
        <x:v>O0206</x:v>
      </x:c>
      <x:c r="B211" s="1" t="str">
        <x:v>Simulated Kolkata Management Institute 206</x:v>
      </x:c>
      <x:c r="C211" s="1" t="str">
        <x:v>East</x:v>
      </x:c>
      <x:c r="D211" s="1" t="str">
        <x:v>Closed Lost</x:v>
      </x:c>
      <x:c r="E211" s="1" t="str">
        <x:v>Lost</x:v>
      </x:c>
      <x:c r="F211" s="7" t="n">
        <x:v>354000</x:v>
      </x:c>
      <x:c r="G211" s="8" t="d">
        <x:v>2026-07-03T00:00:00.000Z</x:v>
      </x:c>
      <x:c r="H211" s="8" t="d">
        <x:v>2026-10-07T00:00:00.000Z</x:v>
      </x:c>
      <x:c r="I211" s="8" t="d">
        <x:v>2026-08-10T00:00:00.000Z</x:v>
      </x:c>
      <x:c r="J211" s="7" t="n">
        <x:v>0</x:v>
      </x:c>
      <x:c r="K211" s="1" t="n">
        <x:v>0</x:v>
      </x:c>
      <x:c r="L211" s="1" t="n">
        <x:v>0</x:v>
      </x:c>
      <x:c r="M211" s="1" t="n">
        <x:v>51</x:v>
      </x:c>
      <x:c r="N211" s="1"/>
      <x:c r="O211" s="1"/>
      <x:c r="P211" s="1"/>
      <x:c r="Q211" s="1"/>
    </x:row>
    <x:row r="212" ht="22" customHeight="1">
      <x:c r="A212" s="1" t="str">
        <x:v>O0207</x:v>
      </x:c>
      <x:c r="B212" s="1" t="str">
        <x:v>Simulated Bhubaneswar Management Institute 207</x:v>
      </x:c>
      <x:c r="C212" s="1" t="str">
        <x:v>East</x:v>
      </x:c>
      <x:c r="D212" s="1" t="str">
        <x:v>Closed Lost</x:v>
      </x:c>
      <x:c r="E212" s="1" t="str">
        <x:v>Lost</x:v>
      </x:c>
      <x:c r="F212" s="7" t="n">
        <x:v>187000</x:v>
      </x:c>
      <x:c r="G212" s="8" t="d">
        <x:v>2025-12-15T00:00:00.000Z</x:v>
      </x:c>
      <x:c r="H212" s="8" t="d">
        <x:v>2026-03-14T00:00:00.000Z</x:v>
      </x:c>
      <x:c r="I212" s="8" t="d">
        <x:v>2026-02-26T00:00:00.000Z</x:v>
      </x:c>
      <x:c r="J212" s="7" t="n">
        <x:v>0</x:v>
      </x:c>
      <x:c r="K212" s="1" t="n">
        <x:v>0</x:v>
      </x:c>
      <x:c r="L212" s="1" t="n">
        <x:v>0</x:v>
      </x:c>
      <x:c r="M212" s="1" t="n">
        <x:v>216</x:v>
      </x:c>
      <x:c r="N212" s="1"/>
      <x:c r="O212" s="1"/>
      <x:c r="P212" s="1"/>
      <x:c r="Q212" s="1"/>
    </x:row>
    <x:row r="213" ht="22" customHeight="1">
      <x:c r="A213" s="1" t="str">
        <x:v>O0208</x:v>
      </x:c>
      <x:c r="B213" s="1" t="str">
        <x:v>Simulated Patna Engineering College 208</x:v>
      </x:c>
      <x:c r="C213" s="1" t="str">
        <x:v>East</x:v>
      </x:c>
      <x:c r="D213" s="1" t="str">
        <x:v>Closed Won</x:v>
      </x:c>
      <x:c r="E213" s="1" t="str">
        <x:v>Won</x:v>
      </x:c>
      <x:c r="F213" s="7" t="n">
        <x:v>203000</x:v>
      </x:c>
      <x:c r="G213" s="8" t="d">
        <x:v>2026-02-19T00:00:00.000Z</x:v>
      </x:c>
      <x:c r="H213" s="8" t="d">
        <x:v>2026-07-16T00:00:00.000Z</x:v>
      </x:c>
      <x:c r="I213" s="8" t="d">
        <x:v>2026-06-10T00:00:00.000Z</x:v>
      </x:c>
      <x:c r="J213" s="7" t="n">
        <x:v>62846.58</x:v>
      </x:c>
      <x:c r="K213" s="1" t="n">
        <x:v>0</x:v>
      </x:c>
      <x:c r="L213" s="1" t="n">
        <x:v>0</x:v>
      </x:c>
      <x:c r="M213" s="1" t="n">
        <x:v>112</x:v>
      </x:c>
      <x:c r="N213" s="1"/>
      <x:c r="O213" s="1"/>
      <x:c r="P213" s="1"/>
      <x:c r="Q213" s="1"/>
    </x:row>
    <x:row r="214" ht="22" customHeight="1">
      <x:c r="A214" s="1" t="str">
        <x:v>O0209</x:v>
      </x:c>
      <x:c r="B214" s="1" t="str">
        <x:v>Simulated Guwahati Arts and Science College 209</x:v>
      </x:c>
      <x:c r="C214" s="1" t="str">
        <x:v>Northeast</x:v>
      </x:c>
      <x:c r="D214" s="1" t="str">
        <x:v>Prospect Identified</x:v>
      </x:c>
      <x:c r="E214" s="1" t="str">
        <x:v>Open</x:v>
      </x:c>
      <x:c r="F214" s="7" t="n">
        <x:v>235000</x:v>
      </x:c>
      <x:c r="G214" s="8" t="d">
        <x:v>2026-01-10T00:00:00.000Z</x:v>
      </x:c>
      <x:c r="H214" s="8" t="d">
        <x:v>2026-05-06T00:00:00.000Z</x:v>
      </x:c>
      <x:c r="I214" s="8"/>
      <x:c r="J214" s="7" t="n">
        <x:v>0</x:v>
      </x:c>
      <x:c r="K214" s="1" t="n">
        <x:v>37.53</x:v>
      </x:c>
      <x:c r="L214" s="1" t="n">
        <x:v>1</x:v>
      </x:c>
      <x:c r="M214" s="1" t="n">
        <x:v>263</x:v>
      </x:c>
      <x:c r="N214" s="1"/>
      <x:c r="O214" s="1"/>
      <x:c r="P214" s="1"/>
      <x:c r="Q214" s="1"/>
    </x:row>
    <x:row r="215" ht="22" customHeight="1">
      <x:c r="A215" s="1" t="str">
        <x:v>O0210</x:v>
      </x:c>
      <x:c r="B215" s="1" t="str">
        <x:v>Simulated Indore Management Institute 210</x:v>
      </x:c>
      <x:c r="C215" s="1" t="str">
        <x:v>Central</x:v>
      </x:c>
      <x:c r="D215" s="1" t="str">
        <x:v>Prospect Identified</x:v>
      </x:c>
      <x:c r="E215" s="1" t="str">
        <x:v>Open</x:v>
      </x:c>
      <x:c r="F215" s="7" t="n">
        <x:v>279000</x:v>
      </x:c>
      <x:c r="G215" s="8" t="d">
        <x:v>2026-01-06T00:00:00.000Z</x:v>
      </x:c>
      <x:c r="H215" s="8" t="d">
        <x:v>2026-05-19T00:00:00.000Z</x:v>
      </x:c>
      <x:c r="I215" s="8"/>
      <x:c r="J215" s="7" t="n">
        <x:v>0</x:v>
      </x:c>
      <x:c r="K215" s="1" t="n">
        <x:v>43.18</x:v>
      </x:c>
      <x:c r="L215" s="1" t="n">
        <x:v>1</x:v>
      </x:c>
      <x:c r="M215" s="1" t="n">
        <x:v>267</x:v>
      </x:c>
      <x:c r="N215" s="1"/>
      <x:c r="O215" s="1"/>
      <x:c r="P215" s="1"/>
      <x:c r="Q215" s="1"/>
    </x:row>
    <x:row r="216" ht="22" customHeight="1">
      <x:c r="A216" s="1" t="str">
        <x:v>O0211</x:v>
      </x:c>
      <x:c r="B216" s="1" t="str">
        <x:v>Simulated New Delhi University 211</x:v>
      </x:c>
      <x:c r="C216" s="1" t="str">
        <x:v>North</x:v>
      </x:c>
      <x:c r="D216" s="1" t="str">
        <x:v>Prospect Identified</x:v>
      </x:c>
      <x:c r="E216" s="1" t="str">
        <x:v>Open</x:v>
      </x:c>
      <x:c r="F216" s="7" t="n">
        <x:v>782000</x:v>
      </x:c>
      <x:c r="G216" s="8" t="d">
        <x:v>2025-12-23T00:00:00.000Z</x:v>
      </x:c>
      <x:c r="H216" s="8" t="d">
        <x:v>2026-04-05T00:00:00.000Z</x:v>
      </x:c>
      <x:c r="I216" s="8"/>
      <x:c r="J216" s="7" t="n">
        <x:v>0</x:v>
      </x:c>
      <x:c r="K216" s="1" t="n">
        <x:v>76.58</x:v>
      </x:c>
      <x:c r="L216" s="1" t="n">
        <x:v>0</x:v>
      </x:c>
      <x:c r="M216" s="1" t="n">
        <x:v>281</x:v>
      </x:c>
      <x:c r="N216" s="1"/>
      <x:c r="O216" s="1"/>
      <x:c r="P216" s="1"/>
      <x:c r="Q216" s="1"/>
    </x:row>
    <x:row r="217" ht="22" customHeight="1">
      <x:c r="A217" s="1" t="str">
        <x:v>O0212</x:v>
      </x:c>
      <x:c r="B217" s="1" t="str">
        <x:v>Simulated Noida Arts and Science College 212</x:v>
      </x:c>
      <x:c r="C217" s="1" t="str">
        <x:v>North</x:v>
      </x:c>
      <x:c r="D217" s="1" t="str">
        <x:v>Closed Lost</x:v>
      </x:c>
      <x:c r="E217" s="1" t="str">
        <x:v>Lost</x:v>
      </x:c>
      <x:c r="F217" s="7" t="n">
        <x:v>187000</x:v>
      </x:c>
      <x:c r="G217" s="8" t="d">
        <x:v>2025-11-27T00:00:00.000Z</x:v>
      </x:c>
      <x:c r="H217" s="8" t="d">
        <x:v>2026-03-03T00:00:00.000Z</x:v>
      </x:c>
      <x:c r="I217" s="8" t="d">
        <x:v>2025-12-07T00:00:00.000Z</x:v>
      </x:c>
      <x:c r="J217" s="7" t="n">
        <x:v>0</x:v>
      </x:c>
      <x:c r="K217" s="1" t="n">
        <x:v>0</x:v>
      </x:c>
      <x:c r="L217" s="1" t="n">
        <x:v>0</x:v>
      </x:c>
      <x:c r="M217" s="1" t="n">
        <x:v>297</x:v>
      </x:c>
      <x:c r="N217" s="1"/>
      <x:c r="O217" s="1"/>
      <x:c r="P217" s="1"/>
      <x:c r="Q217" s="1"/>
    </x:row>
    <x:row r="218" ht="22" customHeight="1">
      <x:c r="A218" s="1" t="str">
        <x:v>O0213</x:v>
      </x:c>
      <x:c r="B218" s="1" t="str">
        <x:v>Simulated Gurugram University 213</x:v>
      </x:c>
      <x:c r="C218" s="1" t="str">
        <x:v>North</x:v>
      </x:c>
      <x:c r="D218" s="1" t="str">
        <x:v>Closed Lost</x:v>
      </x:c>
      <x:c r="E218" s="1" t="str">
        <x:v>Lost</x:v>
      </x:c>
      <x:c r="F218" s="7" t="n">
        <x:v>757000</x:v>
      </x:c>
      <x:c r="G218" s="8" t="d">
        <x:v>2026-09-01T00:00:00.000Z</x:v>
      </x:c>
      <x:c r="H218" s="8" t="d">
        <x:v>2027-01-08T00:00:00.000Z</x:v>
      </x:c>
      <x:c r="I218" s="8" t="d">
        <x:v>2026-09-10T00:00:00.000Z</x:v>
      </x:c>
      <x:c r="J218" s="7" t="n">
        <x:v>0</x:v>
      </x:c>
      <x:c r="K218" s="1" t="n">
        <x:v>0</x:v>
      </x:c>
      <x:c r="L218" s="1" t="n">
        <x:v>0</x:v>
      </x:c>
      <x:c r="M218" s="1" t="n">
        <x:v>20</x:v>
      </x:c>
      <x:c r="N218" s="1"/>
      <x:c r="O218" s="1"/>
      <x:c r="P218" s="1"/>
      <x:c r="Q218" s="1"/>
    </x:row>
    <x:row r="219" ht="22" customHeight="1">
      <x:c r="A219" s="1" t="str">
        <x:v>O0214</x:v>
      </x:c>
      <x:c r="B219" s="1" t="str">
        <x:v>Simulated Ludhiana Management Institute 214</x:v>
      </x:c>
      <x:c r="C219" s="1" t="str">
        <x:v>North</x:v>
      </x:c>
      <x:c r="D219" s="1" t="str">
        <x:v>Closed Lost</x:v>
      </x:c>
      <x:c r="E219" s="1" t="str">
        <x:v>Lost</x:v>
      </x:c>
      <x:c r="F219" s="7" t="n">
        <x:v>269000</x:v>
      </x:c>
      <x:c r="G219" s="8" t="d">
        <x:v>2026-03-12T00:00:00.000Z</x:v>
      </x:c>
      <x:c r="H219" s="8" t="d">
        <x:v>2026-07-03T00:00:00.000Z</x:v>
      </x:c>
      <x:c r="I219" s="8" t="d">
        <x:v>2026-05-13T00:00:00.000Z</x:v>
      </x:c>
      <x:c r="J219" s="7" t="n">
        <x:v>0</x:v>
      </x:c>
      <x:c r="K219" s="1" t="n">
        <x:v>0</x:v>
      </x:c>
      <x:c r="L219" s="1" t="n">
        <x:v>0</x:v>
      </x:c>
      <x:c r="M219" s="1" t="n">
        <x:v>140</x:v>
      </x:c>
      <x:c r="N219" s="1"/>
      <x:c r="O219" s="1"/>
      <x:c r="P219" s="1"/>
      <x:c r="Q219" s="1"/>
    </x:row>
    <x:row r="220" ht="22" customHeight="1">
      <x:c r="A220" s="1" t="str">
        <x:v>O0215</x:v>
      </x:c>
      <x:c r="B220" s="1" t="str">
        <x:v>Simulated Pune University 215</x:v>
      </x:c>
      <x:c r="C220" s="1" t="str">
        <x:v>West</x:v>
      </x:c>
      <x:c r="D220" s="1" t="str">
        <x:v>Closed Lost</x:v>
      </x:c>
      <x:c r="E220" s="1" t="str">
        <x:v>Lost</x:v>
      </x:c>
      <x:c r="F220" s="7" t="n">
        <x:v>537000</x:v>
      </x:c>
      <x:c r="G220" s="8" t="d">
        <x:v>2026-04-03T00:00:00.000Z</x:v>
      </x:c>
      <x:c r="H220" s="8" t="d">
        <x:v>2026-07-27T00:00:00.000Z</x:v>
      </x:c>
      <x:c r="I220" s="8" t="d">
        <x:v>2026-06-29T00:00:00.000Z</x:v>
      </x:c>
      <x:c r="J220" s="7" t="n">
        <x:v>0</x:v>
      </x:c>
      <x:c r="K220" s="1" t="n">
        <x:v>0</x:v>
      </x:c>
      <x:c r="L220" s="1" t="n">
        <x:v>0</x:v>
      </x:c>
      <x:c r="M220" s="1" t="n">
        <x:v>93</x:v>
      </x:c>
      <x:c r="N220" s="1"/>
      <x:c r="O220" s="1"/>
      <x:c r="P220" s="1"/>
      <x:c r="Q220" s="1"/>
    </x:row>
    <x:row r="221" ht="22" customHeight="1">
      <x:c r="A221" s="1" t="str">
        <x:v>O0216</x:v>
      </x:c>
      <x:c r="B221" s="1" t="str">
        <x:v>Simulated Ahmedabad Arts and Science College 216</x:v>
      </x:c>
      <x:c r="C221" s="1" t="str">
        <x:v>West</x:v>
      </x:c>
      <x:c r="D221" s="1" t="str">
        <x:v>Meeting Scheduled</x:v>
      </x:c>
      <x:c r="E221" s="1" t="str">
        <x:v>Open</x:v>
      </x:c>
      <x:c r="F221" s="7" t="n">
        <x:v>261000</x:v>
      </x:c>
      <x:c r="G221" s="8" t="d">
        <x:v>2026-05-25T00:00:00.000Z</x:v>
      </x:c>
      <x:c r="H221" s="8" t="d">
        <x:v>2026-10-08T00:00:00.000Z</x:v>
      </x:c>
      <x:c r="I221" s="8"/>
      <x:c r="J221" s="7" t="n">
        <x:v>0</x:v>
      </x:c>
      <x:c r="K221" s="1" t="n">
        <x:v>41.43</x:v>
      </x:c>
      <x:c r="L221" s="1" t="n">
        <x:v>1</x:v>
      </x:c>
      <x:c r="M221" s="1" t="n">
        <x:v>87</x:v>
      </x:c>
      <x:c r="N221" s="1"/>
      <x:c r="O221" s="1"/>
      <x:c r="P221" s="1"/>
      <x:c r="Q221" s="1"/>
    </x:row>
    <x:row r="222" ht="22" customHeight="1">
      <x:c r="A222" s="1" t="str">
        <x:v>O0217</x:v>
      </x:c>
      <x:c r="B222" s="1" t="str">
        <x:v>Simulated Jaipur Engineering College 217</x:v>
      </x:c>
      <x:c r="C222" s="1" t="str">
        <x:v>West</x:v>
      </x:c>
      <x:c r="D222" s="1" t="str">
        <x:v>Closed Won</x:v>
      </x:c>
      <x:c r="E222" s="1" t="str">
        <x:v>Won</x:v>
      </x:c>
      <x:c r="F222" s="7" t="n">
        <x:v>447000</x:v>
      </x:c>
      <x:c r="G222" s="8" t="d">
        <x:v>2026-01-02T00:00:00.000Z</x:v>
      </x:c>
      <x:c r="H222" s="8" t="d">
        <x:v>2026-05-22T00:00:00.000Z</x:v>
      </x:c>
      <x:c r="I222" s="8" t="d">
        <x:v>2026-05-04T00:00:00.000Z</x:v>
      </x:c>
      <x:c r="J222" s="7" t="n">
        <x:v>183698.63</x:v>
      </x:c>
      <x:c r="K222" s="1" t="n">
        <x:v>0</x:v>
      </x:c>
      <x:c r="L222" s="1" t="n">
        <x:v>0</x:v>
      </x:c>
      <x:c r="M222" s="1" t="n">
        <x:v>149</x:v>
      </x:c>
      <x:c r="N222" s="1"/>
      <x:c r="O222" s="1"/>
      <x:c r="P222" s="1"/>
      <x:c r="Q222" s="1"/>
    </x:row>
    <x:row r="223" ht="22" customHeight="1">
      <x:c r="A223" s="1" t="str">
        <x:v>O0218</x:v>
      </x:c>
      <x:c r="B223" s="1" t="str">
        <x:v>Simulated Bengaluru Arts and Science College 218</x:v>
      </x:c>
      <x:c r="C223" s="1" t="str">
        <x:v>South</x:v>
      </x:c>
      <x:c r="D223" s="1" t="str">
        <x:v>Closed Lost</x:v>
      </x:c>
      <x:c r="E223" s="1" t="str">
        <x:v>Lost</x:v>
      </x:c>
      <x:c r="F223" s="7" t="n">
        <x:v>162000</x:v>
      </x:c>
      <x:c r="G223" s="8" t="d">
        <x:v>2026-04-22T00:00:00.000Z</x:v>
      </x:c>
      <x:c r="H223" s="8" t="d">
        <x:v>2026-08-26T00:00:00.000Z</x:v>
      </x:c>
      <x:c r="I223" s="8" t="d">
        <x:v>2026-06-04T00:00:00.000Z</x:v>
      </x:c>
      <x:c r="J223" s="7" t="n">
        <x:v>0</x:v>
      </x:c>
      <x:c r="K223" s="1" t="n">
        <x:v>0</x:v>
      </x:c>
      <x:c r="L223" s="1" t="n">
        <x:v>0</x:v>
      </x:c>
      <x:c r="M223" s="1" t="n">
        <x:v>118</x:v>
      </x:c>
      <x:c r="N223" s="1"/>
      <x:c r="O223" s="1"/>
      <x:c r="P223" s="1"/>
      <x:c r="Q223" s="1"/>
    </x:row>
    <x:row r="224" ht="22" customHeight="1">
      <x:c r="A224" s="1" t="str">
        <x:v>O0219</x:v>
      </x:c>
      <x:c r="B224" s="1" t="str">
        <x:v>Simulated Chennai Management Institute 219</x:v>
      </x:c>
      <x:c r="C224" s="1" t="str">
        <x:v>South</x:v>
      </x:c>
      <x:c r="D224" s="1" t="str">
        <x:v>Closed Lost</x:v>
      </x:c>
      <x:c r="E224" s="1" t="str">
        <x:v>Lost</x:v>
      </x:c>
      <x:c r="F224" s="7" t="n">
        <x:v>352000</x:v>
      </x:c>
      <x:c r="G224" s="8" t="d">
        <x:v>2026-07-16T00:00:00.000Z</x:v>
      </x:c>
      <x:c r="H224" s="8" t="d">
        <x:v>2026-11-02T00:00:00.000Z</x:v>
      </x:c>
      <x:c r="I224" s="8" t="d">
        <x:v>2026-08-29T00:00:00.000Z</x:v>
      </x:c>
      <x:c r="J224" s="7" t="n">
        <x:v>0</x:v>
      </x:c>
      <x:c r="K224" s="1" t="n">
        <x:v>0</x:v>
      </x:c>
      <x:c r="L224" s="1" t="n">
        <x:v>0</x:v>
      </x:c>
      <x:c r="M224" s="1" t="n">
        <x:v>32</x:v>
      </x:c>
      <x:c r="N224" s="1"/>
      <x:c r="O224" s="1"/>
      <x:c r="P224" s="1"/>
      <x:c r="Q224" s="1"/>
    </x:row>
    <x:row r="225" ht="22" customHeight="1">
      <x:c r="A225" s="1" t="str">
        <x:v>O0220</x:v>
      </x:c>
      <x:c r="B225" s="1" t="str">
        <x:v>Simulated Hyderabad Engineering College 220</x:v>
      </x:c>
      <x:c r="C225" s="1" t="str">
        <x:v>South</x:v>
      </x:c>
      <x:c r="D225" s="1" t="str">
        <x:v>Closed Won</x:v>
      </x:c>
      <x:c r="E225" s="1" t="str">
        <x:v>Won</x:v>
      </x:c>
      <x:c r="F225" s="7" t="n">
        <x:v>137000</x:v>
      </x:c>
      <x:c r="G225" s="8" t="d">
        <x:v>2026-04-06T00:00:00.000Z</x:v>
      </x:c>
      <x:c r="H225" s="8" t="d">
        <x:v>2026-07-06T00:00:00.000Z</x:v>
      </x:c>
      <x:c r="I225" s="8" t="d">
        <x:v>2026-08-03T00:00:00.000Z</x:v>
      </x:c>
      <x:c r="J225" s="7" t="n">
        <x:v>22145.21</x:v>
      </x:c>
      <x:c r="K225" s="1" t="n">
        <x:v>0</x:v>
      </x:c>
      <x:c r="L225" s="1" t="n">
        <x:v>0</x:v>
      </x:c>
      <x:c r="M225" s="1" t="n">
        <x:v>58</x:v>
      </x:c>
      <x:c r="N225" s="1"/>
      <x:c r="O225" s="1"/>
      <x:c r="P225" s="1"/>
      <x:c r="Q225" s="1"/>
    </x:row>
    <x:row r="226" ht="22" customHeight="1">
      <x:c r="A226" s="1" t="str">
        <x:v>O0221</x:v>
      </x:c>
      <x:c r="B226" s="1" t="str">
        <x:v>Simulated Kolkata University 221</x:v>
      </x:c>
      <x:c r="C226" s="1" t="str">
        <x:v>East</x:v>
      </x:c>
      <x:c r="D226" s="1" t="str">
        <x:v>Prospect Identified</x:v>
      </x:c>
      <x:c r="E226" s="1" t="str">
        <x:v>Open</x:v>
      </x:c>
      <x:c r="F226" s="7" t="n">
        <x:v>500000</x:v>
      </x:c>
      <x:c r="G226" s="8" t="d">
        <x:v>2026-02-22T00:00:00.000Z</x:v>
      </x:c>
      <x:c r="H226" s="8" t="d">
        <x:v>2026-07-08T00:00:00.000Z</x:v>
      </x:c>
      <x:c r="I226" s="8"/>
      <x:c r="J226" s="7" t="n">
        <x:v>0</x:v>
      </x:c>
      <x:c r="K226" s="1" t="n">
        <x:v>45.68</x:v>
      </x:c>
      <x:c r="L226" s="1" t="n">
        <x:v>1</x:v>
      </x:c>
      <x:c r="M226" s="1" t="n">
        <x:v>220</x:v>
      </x:c>
      <x:c r="N226" s="1"/>
      <x:c r="O226" s="1"/>
      <x:c r="P226" s="1"/>
      <x:c r="Q226" s="1"/>
    </x:row>
    <x:row r="227" ht="22" customHeight="1">
      <x:c r="A227" s="1" t="str">
        <x:v>O0222</x:v>
      </x:c>
      <x:c r="B227" s="1" t="str">
        <x:v>Simulated Bhubaneswar Engineering College 222</x:v>
      </x:c>
      <x:c r="C227" s="1" t="str">
        <x:v>East</x:v>
      </x:c>
      <x:c r="D227" s="1" t="str">
        <x:v>Meeting Scheduled</x:v>
      </x:c>
      <x:c r="E227" s="1" t="str">
        <x:v>Open</x:v>
      </x:c>
      <x:c r="F227" s="7" t="n">
        <x:v>263000</x:v>
      </x:c>
      <x:c r="G227" s="8" t="d">
        <x:v>2026-08-09T00:00:00.000Z</x:v>
      </x:c>
      <x:c r="H227" s="8" t="d">
        <x:v>2026-11-04T00:00:00.000Z</x:v>
      </x:c>
      <x:c r="I227" s="8"/>
      <x:c r="J227" s="7" t="n">
        <x:v>0</x:v>
      </x:c>
      <x:c r="K227" s="1" t="n">
        <x:v>46.56</x:v>
      </x:c>
      <x:c r="L227" s="1" t="n">
        <x:v>1</x:v>
      </x:c>
      <x:c r="M227" s="1" t="n">
        <x:v>15</x:v>
      </x:c>
      <x:c r="N227" s="1"/>
      <x:c r="O227" s="1"/>
      <x:c r="P227" s="1"/>
      <x:c r="Q227" s="1"/>
    </x:row>
    <x:row r="228" ht="22" customHeight="1">
      <x:c r="A228" s="1" t="str">
        <x:v>O0223</x:v>
      </x:c>
      <x:c r="B228" s="1" t="str">
        <x:v>Simulated Patna University 223</x:v>
      </x:c>
      <x:c r="C228" s="1" t="str">
        <x:v>East</x:v>
      </x:c>
      <x:c r="D228" s="1" t="str">
        <x:v>Qualified</x:v>
      </x:c>
      <x:c r="E228" s="1" t="str">
        <x:v>Open</x:v>
      </x:c>
      <x:c r="F228" s="7" t="n">
        <x:v>465000</x:v>
      </x:c>
      <x:c r="G228" s="8" t="d">
        <x:v>2025-11-14T00:00:00.000Z</x:v>
      </x:c>
      <x:c r="H228" s="8" t="d">
        <x:v>2026-03-17T00:00:00.000Z</x:v>
      </x:c>
      <x:c r="I228" s="8"/>
      <x:c r="J228" s="7" t="n">
        <x:v>0</x:v>
      </x:c>
      <x:c r="K228" s="1" t="n">
        <x:v>54.32</x:v>
      </x:c>
      <x:c r="L228" s="1" t="n">
        <x:v>1</x:v>
      </x:c>
      <x:c r="M228" s="1" t="n">
        <x:v>310</x:v>
      </x:c>
      <x:c r="N228" s="1"/>
      <x:c r="O228" s="1"/>
      <x:c r="P228" s="1"/>
      <x:c r="Q228" s="1"/>
    </x:row>
    <x:row r="229" ht="22" customHeight="1">
      <x:c r="A229" s="1" t="str">
        <x:v>O0224</x:v>
      </x:c>
      <x:c r="B229" s="1" t="str">
        <x:v>Simulated Guwahati Management Institute 224</x:v>
      </x:c>
      <x:c r="C229" s="1" t="str">
        <x:v>Northeast</x:v>
      </x:c>
      <x:c r="D229" s="1" t="str">
        <x:v>Initial Contact</x:v>
      </x:c>
      <x:c r="E229" s="1" t="str">
        <x:v>Open</x:v>
      </x:c>
      <x:c r="F229" s="7" t="n">
        <x:v>254000</x:v>
      </x:c>
      <x:c r="G229" s="8" t="d">
        <x:v>2025-12-10T00:00:00.000Z</x:v>
      </x:c>
      <x:c r="H229" s="8" t="d">
        <x:v>2026-04-27T00:00:00.000Z</x:v>
      </x:c>
      <x:c r="I229" s="8"/>
      <x:c r="J229" s="7" t="n">
        <x:v>0</x:v>
      </x:c>
      <x:c r="K229" s="1" t="n">
        <x:v>49.62</x:v>
      </x:c>
      <x:c r="L229" s="1" t="n">
        <x:v>1</x:v>
      </x:c>
      <x:c r="M229" s="1" t="n">
        <x:v>264</x:v>
      </x:c>
      <x:c r="N229" s="1"/>
      <x:c r="O229" s="1"/>
      <x:c r="P229" s="1"/>
      <x:c r="Q229" s="1"/>
    </x:row>
    <x:row r="230" ht="22" customHeight="1">
      <x:c r="A230" s="1" t="str">
        <x:v>O0225</x:v>
      </x:c>
      <x:c r="B230" s="1" t="str">
        <x:v>Simulated Indore Engineering College 225</x:v>
      </x:c>
      <x:c r="C230" s="1" t="str">
        <x:v>Central</x:v>
      </x:c>
      <x:c r="D230" s="1" t="str">
        <x:v>Closed Lost</x:v>
      </x:c>
      <x:c r="E230" s="1" t="str">
        <x:v>Lost</x:v>
      </x:c>
      <x:c r="F230" s="7" t="n">
        <x:v>194000</x:v>
      </x:c>
      <x:c r="G230" s="8" t="d">
        <x:v>2025-10-26T00:00:00.000Z</x:v>
      </x:c>
      <x:c r="H230" s="8" t="d">
        <x:v>2026-01-20T00:00:00.000Z</x:v>
      </x:c>
      <x:c r="I230" s="8" t="d">
        <x:v>2026-02-19T00:00:00.000Z</x:v>
      </x:c>
      <x:c r="J230" s="7" t="n">
        <x:v>0</x:v>
      </x:c>
      <x:c r="K230" s="1" t="n">
        <x:v>0</x:v>
      </x:c>
      <x:c r="L230" s="1" t="n">
        <x:v>0</x:v>
      </x:c>
      <x:c r="M230" s="1" t="n">
        <x:v>223</x:v>
      </x:c>
      <x:c r="N230" s="1"/>
      <x:c r="O230" s="1"/>
      <x:c r="P230" s="1"/>
      <x:c r="Q230" s="1"/>
    </x:row>
    <x:row r="231" ht="22" customHeight="1">
      <x:c r="A231" s="1" t="str">
        <x:v>O0226</x:v>
      </x:c>
      <x:c r="B231" s="1" t="str">
        <x:v>Simulated New Delhi Management Institute 226</x:v>
      </x:c>
      <x:c r="C231" s="1" t="str">
        <x:v>North</x:v>
      </x:c>
      <x:c r="D231" s="1" t="str">
        <x:v>Proposal Sent</x:v>
      </x:c>
      <x:c r="E231" s="1" t="str">
        <x:v>Open</x:v>
      </x:c>
      <x:c r="F231" s="7" t="n">
        <x:v>400000</x:v>
      </x:c>
      <x:c r="G231" s="8" t="d">
        <x:v>2026-06-21T00:00:00.000Z</x:v>
      </x:c>
      <x:c r="H231" s="8" t="d">
        <x:v>2026-10-19T00:00:00.000Z</x:v>
      </x:c>
      <x:c r="I231" s="8"/>
      <x:c r="J231" s="7" t="n">
        <x:v>0</x:v>
      </x:c>
      <x:c r="K231" s="1" t="n">
        <x:v>55.4</x:v>
      </x:c>
      <x:c r="L231" s="1" t="n">
        <x:v>0</x:v>
      </x:c>
      <x:c r="M231" s="1" t="n">
        <x:v>24</x:v>
      </x:c>
      <x:c r="N231" s="1"/>
      <x:c r="O231" s="1"/>
      <x:c r="P231" s="1"/>
      <x:c r="Q231" s="1"/>
    </x:row>
    <x:row r="232" ht="22" customHeight="1">
      <x:c r="A232" s="1" t="str">
        <x:v>O0227</x:v>
      </x:c>
      <x:c r="B232" s="1" t="str">
        <x:v>Simulated Noida University 227</x:v>
      </x:c>
      <x:c r="C232" s="1" t="str">
        <x:v>North</x:v>
      </x:c>
      <x:c r="D232" s="1" t="str">
        <x:v>Prospect Identified</x:v>
      </x:c>
      <x:c r="E232" s="1" t="str">
        <x:v>Open</x:v>
      </x:c>
      <x:c r="F232" s="7" t="n">
        <x:v>121000</x:v>
      </x:c>
      <x:c r="G232" s="8" t="d">
        <x:v>2025-10-05T00:00:00.000Z</x:v>
      </x:c>
      <x:c r="H232" s="8" t="d">
        <x:v>2026-01-07T00:00:00.000Z</x:v>
      </x:c>
      <x:c r="I232" s="8"/>
      <x:c r="J232" s="7" t="n">
        <x:v>0</x:v>
      </x:c>
      <x:c r="K232" s="1" t="n">
        <x:v>37.43</x:v>
      </x:c>
      <x:c r="L232" s="1" t="n">
        <x:v>1</x:v>
      </x:c>
      <x:c r="M232" s="1" t="n">
        <x:v>360</x:v>
      </x:c>
      <x:c r="N232" s="1"/>
      <x:c r="O232" s="1"/>
      <x:c r="P232" s="1"/>
      <x:c r="Q232" s="1"/>
    </x:row>
    <x:row r="233" ht="22" customHeight="1">
      <x:c r="A233" s="1" t="str">
        <x:v>O0228</x:v>
      </x:c>
      <x:c r="B233" s="1" t="str">
        <x:v>Simulated Gurugram Management Institute 228</x:v>
      </x:c>
      <x:c r="C233" s="1" t="str">
        <x:v>North</x:v>
      </x:c>
      <x:c r="D233" s="1" t="str">
        <x:v>Initial Contact</x:v>
      </x:c>
      <x:c r="E233" s="1" t="str">
        <x:v>Open</x:v>
      </x:c>
      <x:c r="F233" s="7" t="n">
        <x:v>185000</x:v>
      </x:c>
      <x:c r="G233" s="8" t="d">
        <x:v>2026-03-06T00:00:00.000Z</x:v>
      </x:c>
      <x:c r="H233" s="8" t="d">
        <x:v>2026-07-01T00:00:00.000Z</x:v>
      </x:c>
      <x:c r="I233" s="8"/>
      <x:c r="J233" s="7" t="n">
        <x:v>0</x:v>
      </x:c>
      <x:c r="K233" s="1" t="n">
        <x:v>49.46</x:v>
      </x:c>
      <x:c r="L233" s="1" t="n">
        <x:v>1</x:v>
      </x:c>
      <x:c r="M233" s="1" t="n">
        <x:v>167</x:v>
      </x:c>
      <x:c r="N233" s="1"/>
      <x:c r="O233" s="1"/>
      <x:c r="P233" s="1"/>
      <x:c r="Q233" s="1"/>
    </x:row>
    <x:row r="234" ht="22" customHeight="1">
      <x:c r="A234" s="1" t="str">
        <x:v>O0229</x:v>
      </x:c>
      <x:c r="B234" s="1" t="str">
        <x:v>Simulated Ludhiana Management Institute 229</x:v>
      </x:c>
      <x:c r="C234" s="1" t="str">
        <x:v>North</x:v>
      </x:c>
      <x:c r="D234" s="1" t="str">
        <x:v>Closed Lost</x:v>
      </x:c>
      <x:c r="E234" s="1" t="str">
        <x:v>Lost</x:v>
      </x:c>
      <x:c r="F234" s="7" t="n">
        <x:v>86000</x:v>
      </x:c>
      <x:c r="G234" s="8" t="d">
        <x:v>2026-07-13T00:00:00.000Z</x:v>
      </x:c>
      <x:c r="H234" s="8" t="d">
        <x:v>2026-11-19T00:00:00.000Z</x:v>
      </x:c>
      <x:c r="I234" s="8" t="d">
        <x:v>2026-08-14T00:00:00.000Z</x:v>
      </x:c>
      <x:c r="J234" s="7" t="n">
        <x:v>0</x:v>
      </x:c>
      <x:c r="K234" s="1" t="n">
        <x:v>0</x:v>
      </x:c>
      <x:c r="L234" s="1" t="n">
        <x:v>0</x:v>
      </x:c>
      <x:c r="M234" s="1" t="n">
        <x:v>47</x:v>
      </x:c>
      <x:c r="N234" s="1"/>
      <x:c r="O234" s="1"/>
      <x:c r="P234" s="1"/>
      <x:c r="Q234" s="1"/>
    </x:row>
    <x:row r="235" ht="22" customHeight="1">
      <x:c r="A235" s="1" t="str">
        <x:v>O0230</x:v>
      </x:c>
      <x:c r="B235" s="1" t="str">
        <x:v>Simulated Pune Arts and Science College 230</x:v>
      </x:c>
      <x:c r="C235" s="1" t="str">
        <x:v>West</x:v>
      </x:c>
      <x:c r="D235" s="1" t="str">
        <x:v>Initial Contact</x:v>
      </x:c>
      <x:c r="E235" s="1" t="str">
        <x:v>Open</x:v>
      </x:c>
      <x:c r="F235" s="7" t="n">
        <x:v>252000</x:v>
      </x:c>
      <x:c r="G235" s="8" t="d">
        <x:v>2026-05-02T00:00:00.000Z</x:v>
      </x:c>
      <x:c r="H235" s="8" t="d">
        <x:v>2026-08-19T00:00:00.000Z</x:v>
      </x:c>
      <x:c r="I235" s="8"/>
      <x:c r="J235" s="7" t="n">
        <x:v>0</x:v>
      </x:c>
      <x:c r="K235" s="1" t="n">
        <x:v>52.37</x:v>
      </x:c>
      <x:c r="L235" s="1" t="n">
        <x:v>1</x:v>
      </x:c>
      <x:c r="M235" s="1" t="n">
        <x:v>94</x:v>
      </x:c>
      <x:c r="N235" s="1"/>
      <x:c r="O235" s="1"/>
      <x:c r="P235" s="1"/>
      <x:c r="Q235" s="1"/>
    </x:row>
    <x:row r="236" ht="22" customHeight="1">
      <x:c r="A236" s="1" t="str">
        <x:v>O0231</x:v>
      </x:c>
      <x:c r="B236" s="1" t="str">
        <x:v>Simulated Ahmedabad Management Institute 231</x:v>
      </x:c>
      <x:c r="C236" s="1" t="str">
        <x:v>West</x:v>
      </x:c>
      <x:c r="D236" s="1" t="str">
        <x:v>Qualified</x:v>
      </x:c>
      <x:c r="E236" s="1" t="str">
        <x:v>Open</x:v>
      </x:c>
      <x:c r="F236" s="7" t="n">
        <x:v>383000</x:v>
      </x:c>
      <x:c r="G236" s="8" t="d">
        <x:v>2026-09-18T00:00:00.000Z</x:v>
      </x:c>
      <x:c r="H236" s="8" t="d">
        <x:v>2026-12-24T00:00:00.000Z</x:v>
      </x:c>
      <x:c r="I236" s="8"/>
      <x:c r="J236" s="7" t="n">
        <x:v>0</x:v>
      </x:c>
      <x:c r="K236" s="1" t="n">
        <x:v>51.34</x:v>
      </x:c>
      <x:c r="L236" s="1" t="n">
        <x:v>0</x:v>
      </x:c>
      <x:c r="M236" s="1" t="n">
        <x:v>5</x:v>
      </x:c>
      <x:c r="N236" s="1"/>
      <x:c r="O236" s="1"/>
      <x:c r="P236" s="1"/>
      <x:c r="Q236" s="1"/>
    </x:row>
    <x:row r="237" ht="22" customHeight="1">
      <x:c r="A237" s="1" t="str">
        <x:v>O0232</x:v>
      </x:c>
      <x:c r="B237" s="1" t="str">
        <x:v>Simulated Jaipur University 232</x:v>
      </x:c>
      <x:c r="C237" s="1" t="str">
        <x:v>West</x:v>
      </x:c>
      <x:c r="D237" s="1" t="str">
        <x:v>Initial Contact</x:v>
      </x:c>
      <x:c r="E237" s="1" t="str">
        <x:v>Open</x:v>
      </x:c>
      <x:c r="F237" s="7" t="n">
        <x:v>658000</x:v>
      </x:c>
      <x:c r="G237" s="8" t="d">
        <x:v>2026-08-01T00:00:00.000Z</x:v>
      </x:c>
      <x:c r="H237" s="8" t="d">
        <x:v>2026-10-22T00:00:00.000Z</x:v>
      </x:c>
      <x:c r="I237" s="8"/>
      <x:c r="J237" s="7" t="n">
        <x:v>0</x:v>
      </x:c>
      <x:c r="K237" s="1" t="n">
        <x:v>65.26</x:v>
      </x:c>
      <x:c r="L237" s="1" t="n">
        <x:v>0</x:v>
      </x:c>
      <x:c r="M237" s="1" t="n">
        <x:v>26</x:v>
      </x:c>
      <x:c r="N237" s="1"/>
      <x:c r="O237" s="1"/>
      <x:c r="P237" s="1"/>
      <x:c r="Q237" s="1"/>
    </x:row>
    <x:row r="238" ht="22" customHeight="1">
      <x:c r="A238" s="1" t="str">
        <x:v>O0233</x:v>
      </x:c>
      <x:c r="B238" s="1" t="str">
        <x:v>Simulated Bengaluru Arts and Science College 233</x:v>
      </x:c>
      <x:c r="C238" s="1" t="str">
        <x:v>South</x:v>
      </x:c>
      <x:c r="D238" s="1" t="str">
        <x:v>Negotiation</x:v>
      </x:c>
      <x:c r="E238" s="1" t="str">
        <x:v>Open</x:v>
      </x:c>
      <x:c r="F238" s="7" t="n">
        <x:v>283000</x:v>
      </x:c>
      <x:c r="G238" s="8" t="d">
        <x:v>2026-05-22T00:00:00.000Z</x:v>
      </x:c>
      <x:c r="H238" s="8" t="d">
        <x:v>2026-08-10T00:00:00.000Z</x:v>
      </x:c>
      <x:c r="I238" s="8"/>
      <x:c r="J238" s="7" t="n">
        <x:v>0</x:v>
      </x:c>
      <x:c r="K238" s="1" t="n">
        <x:v>47.81</x:v>
      </x:c>
      <x:c r="L238" s="1" t="n">
        <x:v>1</x:v>
      </x:c>
      <x:c r="M238" s="1" t="n">
        <x:v>22</x:v>
      </x:c>
      <x:c r="N238" s="1"/>
      <x:c r="O238" s="1"/>
      <x:c r="P238" s="1"/>
      <x:c r="Q238" s="1"/>
    </x:row>
    <x:row r="239" ht="22" customHeight="1">
      <x:c r="A239" s="1" t="str">
        <x:v>O0234</x:v>
      </x:c>
      <x:c r="B239" s="1" t="str">
        <x:v>Simulated Chennai University 234</x:v>
      </x:c>
      <x:c r="C239" s="1" t="str">
        <x:v>South</x:v>
      </x:c>
      <x:c r="D239" s="1" t="str">
        <x:v>Closed Won</x:v>
      </x:c>
      <x:c r="E239" s="1" t="str">
        <x:v>Won</x:v>
      </x:c>
      <x:c r="F239" s="7" t="n">
        <x:v>521000</x:v>
      </x:c>
      <x:c r="G239" s="8" t="d">
        <x:v>2025-11-04T00:00:00.000Z</x:v>
      </x:c>
      <x:c r="H239" s="8" t="d">
        <x:v>2026-02-06T00:00:00.000Z</x:v>
      </x:c>
      <x:c r="I239" s="8" t="d">
        <x:v>2026-02-03T00:00:00.000Z</x:v>
      </x:c>
      <x:c r="J239" s="7" t="n">
        <x:v>342575.34</x:v>
      </x:c>
      <x:c r="K239" s="1" t="n">
        <x:v>0</x:v>
      </x:c>
      <x:c r="L239" s="1" t="n">
        <x:v>0</x:v>
      </x:c>
      <x:c r="M239" s="1" t="n">
        <x:v>239</x:v>
      </x:c>
      <x:c r="N239" s="1"/>
      <x:c r="O239" s="1"/>
      <x:c r="P239" s="1"/>
      <x:c r="Q239" s="1"/>
    </x:row>
    <x:row r="240" ht="22" customHeight="1">
      <x:c r="A240" s="1" t="str">
        <x:v>O0235</x:v>
      </x:c>
      <x:c r="B240" s="1" t="str">
        <x:v>Simulated Hyderabad Engineering College 235</x:v>
      </x:c>
      <x:c r="C240" s="1" t="str">
        <x:v>South</x:v>
      </x:c>
      <x:c r="D240" s="1" t="str">
        <x:v>Proposal Sent</x:v>
      </x:c>
      <x:c r="E240" s="1" t="str">
        <x:v>Open</x:v>
      </x:c>
      <x:c r="F240" s="7" t="n">
        <x:v>218000</x:v>
      </x:c>
      <x:c r="G240" s="8" t="d">
        <x:v>2026-02-23T00:00:00.000Z</x:v>
      </x:c>
      <x:c r="H240" s="8" t="d">
        <x:v>2026-07-18T00:00:00.000Z</x:v>
      </x:c>
      <x:c r="I240" s="8"/>
      <x:c r="J240" s="7" t="n">
        <x:v>0</x:v>
      </x:c>
      <x:c r="K240" s="1" t="n">
        <x:v>59.78</x:v>
      </x:c>
      <x:c r="L240" s="1" t="n">
        <x:v>1</x:v>
      </x:c>
      <x:c r="M240" s="1" t="n">
        <x:v>165</x:v>
      </x:c>
      <x:c r="N240" s="1"/>
      <x:c r="O240" s="1"/>
      <x:c r="P240" s="1"/>
      <x:c r="Q240" s="1"/>
    </x:row>
    <x:row r="241" ht="22" customHeight="1">
      <x:c r="A241" s="1" t="str">
        <x:v>O0236</x:v>
      </x:c>
      <x:c r="B241" s="1" t="str">
        <x:v>Simulated Kolkata Engineering College 236</x:v>
      </x:c>
      <x:c r="C241" s="1" t="str">
        <x:v>East</x:v>
      </x:c>
      <x:c r="D241" s="1" t="str">
        <x:v>Prospect Identified</x:v>
      </x:c>
      <x:c r="E241" s="1" t="str">
        <x:v>Open</x:v>
      </x:c>
      <x:c r="F241" s="7" t="n">
        <x:v>204000</x:v>
      </x:c>
      <x:c r="G241" s="8" t="d">
        <x:v>2026-03-17T00:00:00.000Z</x:v>
      </x:c>
      <x:c r="H241" s="8" t="d">
        <x:v>2026-07-25T00:00:00.000Z</x:v>
      </x:c>
      <x:c r="I241" s="8"/>
      <x:c r="J241" s="7" t="n">
        <x:v>0</x:v>
      </x:c>
      <x:c r="K241" s="1" t="n">
        <x:v>51.59</x:v>
      </x:c>
      <x:c r="L241" s="1" t="n">
        <x:v>1</x:v>
      </x:c>
      <x:c r="M241" s="1" t="n">
        <x:v>197</x:v>
      </x:c>
      <x:c r="N241" s="1"/>
      <x:c r="O241" s="1"/>
      <x:c r="P241" s="1"/>
      <x:c r="Q241" s="1"/>
    </x:row>
    <x:row r="242" ht="22" customHeight="1">
      <x:c r="A242" s="1" t="str">
        <x:v>O0237</x:v>
      </x:c>
      <x:c r="B242" s="1" t="str">
        <x:v>Simulated Bhubaneswar Management Institute 237</x:v>
      </x:c>
      <x:c r="C242" s="1" t="str">
        <x:v>East</x:v>
      </x:c>
      <x:c r="D242" s="1" t="str">
        <x:v>Qualified</x:v>
      </x:c>
      <x:c r="E242" s="1" t="str">
        <x:v>Open</x:v>
      </x:c>
      <x:c r="F242" s="7" t="n">
        <x:v>133000</x:v>
      </x:c>
      <x:c r="G242" s="8" t="d">
        <x:v>2026-02-20T00:00:00.000Z</x:v>
      </x:c>
      <x:c r="H242" s="8" t="d">
        <x:v>2026-06-05T00:00:00.000Z</x:v>
      </x:c>
      <x:c r="I242" s="8"/>
      <x:c r="J242" s="7" t="n">
        <x:v>0</x:v>
      </x:c>
      <x:c r="K242" s="1" t="n">
        <x:v>48.34</x:v>
      </x:c>
      <x:c r="L242" s="1" t="n">
        <x:v>1</x:v>
      </x:c>
      <x:c r="M242" s="1" t="n">
        <x:v>205</x:v>
      </x:c>
      <x:c r="N242" s="1"/>
      <x:c r="O242" s="1"/>
      <x:c r="P242" s="1"/>
      <x:c r="Q242" s="1"/>
    </x:row>
    <x:row r="243" ht="22" customHeight="1">
      <x:c r="A243" s="1" t="str">
        <x:v>O0238</x:v>
      </x:c>
      <x:c r="B243" s="1" t="str">
        <x:v>Simulated Patna Engineering College 238</x:v>
      </x:c>
      <x:c r="C243" s="1" t="str">
        <x:v>East</x:v>
      </x:c>
      <x:c r="D243" s="1" t="str">
        <x:v>Closed Lost</x:v>
      </x:c>
      <x:c r="E243" s="1" t="str">
        <x:v>Lost</x:v>
      </x:c>
      <x:c r="F243" s="7" t="n">
        <x:v>342000</x:v>
      </x:c>
      <x:c r="G243" s="8" t="d">
        <x:v>2025-10-14T00:00:00.000Z</x:v>
      </x:c>
      <x:c r="H243" s="8" t="d">
        <x:v>2026-01-06T00:00:00.000Z</x:v>
      </x:c>
      <x:c r="I243" s="8" t="d">
        <x:v>2025-12-27T00:00:00.000Z</x:v>
      </x:c>
      <x:c r="J243" s="7" t="n">
        <x:v>0</x:v>
      </x:c>
      <x:c r="K243" s="1" t="n">
        <x:v>0</x:v>
      </x:c>
      <x:c r="L243" s="1" t="n">
        <x:v>0</x:v>
      </x:c>
      <x:c r="M243" s="1" t="n">
        <x:v>277</x:v>
      </x:c>
      <x:c r="N243" s="1"/>
      <x:c r="O243" s="1"/>
      <x:c r="P243" s="1"/>
      <x:c r="Q243" s="1"/>
    </x:row>
    <x:row r="244" ht="22" customHeight="1">
      <x:c r="A244" s="1" t="str">
        <x:v>O0239</x:v>
      </x:c>
      <x:c r="B244" s="1" t="str">
        <x:v>Simulated Guwahati University 239</x:v>
      </x:c>
      <x:c r="C244" s="1" t="str">
        <x:v>Northeast</x:v>
      </x:c>
      <x:c r="D244" s="1" t="str">
        <x:v>Prospect Identified</x:v>
      </x:c>
      <x:c r="E244" s="1" t="str">
        <x:v>Open</x:v>
      </x:c>
      <x:c r="F244" s="7" t="n">
        <x:v>393000</x:v>
      </x:c>
      <x:c r="G244" s="8" t="d">
        <x:v>2026-07-10T00:00:00.000Z</x:v>
      </x:c>
      <x:c r="H244" s="8" t="d">
        <x:v>2026-10-17T00:00:00.000Z</x:v>
      </x:c>
      <x:c r="I244" s="8"/>
      <x:c r="J244" s="7" t="n">
        <x:v>0</x:v>
      </x:c>
      <x:c r="K244" s="1" t="n">
        <x:v>50.17</x:v>
      </x:c>
      <x:c r="L244" s="1" t="n">
        <x:v>0</x:v>
      </x:c>
      <x:c r="M244" s="1" t="n">
        <x:v>82</x:v>
      </x:c>
      <x:c r="N244" s="1"/>
      <x:c r="O244" s="1"/>
      <x:c r="P244" s="1"/>
      <x:c r="Q244" s="1"/>
    </x:row>
    <x:row r="245" ht="22" customHeight="1">
      <x:c r="A245" s="1" t="str">
        <x:v>O0240</x:v>
      </x:c>
      <x:c r="B245" s="1" t="str">
        <x:v>Simulated Indore Engineering College 240</x:v>
      </x:c>
      <x:c r="C245" s="1" t="str">
        <x:v>Central</x:v>
      </x:c>
      <x:c r="D245" s="1" t="str">
        <x:v>Meeting Scheduled</x:v>
      </x:c>
      <x:c r="E245" s="1" t="str">
        <x:v>Open</x:v>
      </x:c>
      <x:c r="F245" s="7" t="n">
        <x:v>317000</x:v>
      </x:c>
      <x:c r="G245" s="8" t="d">
        <x:v>2025-10-03T00:00:00.000Z</x:v>
      </x:c>
      <x:c r="H245" s="8" t="d">
        <x:v>2026-01-30T00:00:00.000Z</x:v>
      </x:c>
      <x:c r="I245" s="8"/>
      <x:c r="J245" s="7" t="n">
        <x:v>0</x:v>
      </x:c>
      <x:c r="K245" s="1" t="n">
        <x:v>39.6</x:v>
      </x:c>
      <x:c r="L245" s="1" t="n">
        <x:v>1</x:v>
      </x:c>
      <x:c r="M245" s="1" t="n">
        <x:v>308</x:v>
      </x:c>
      <x:c r="N245" s="1"/>
      <x:c r="O245" s="1"/>
      <x:c r="P245" s="1"/>
      <x:c r="Q245" s="1"/>
    </x:row>
    <x:row r="246" ht="22" customHeight="1">
      <x:c r="A246" s="1" t="str">
        <x:v>O0241</x:v>
      </x:c>
      <x:c r="B246" s="1" t="str">
        <x:v>Simulated New Delhi University 241</x:v>
      </x:c>
      <x:c r="C246" s="1" t="str">
        <x:v>North</x:v>
      </x:c>
      <x:c r="D246" s="1" t="str">
        <x:v>Meeting Scheduled</x:v>
      </x:c>
      <x:c r="E246" s="1" t="str">
        <x:v>Open</x:v>
      </x:c>
      <x:c r="F246" s="7" t="n">
        <x:v>411000</x:v>
      </x:c>
      <x:c r="G246" s="8" t="d">
        <x:v>2026-06-23T00:00:00.000Z</x:v>
      </x:c>
      <x:c r="H246" s="8" t="d">
        <x:v>2026-10-14T00:00:00.000Z</x:v>
      </x:c>
      <x:c r="I246" s="8"/>
      <x:c r="J246" s="7" t="n">
        <x:v>0</x:v>
      </x:c>
      <x:c r="K246" s="1" t="n">
        <x:v>50.69</x:v>
      </x:c>
      <x:c r="L246" s="1" t="n">
        <x:v>1</x:v>
      </x:c>
      <x:c r="M246" s="1" t="n">
        <x:v>52</x:v>
      </x:c>
      <x:c r="N246" s="1"/>
      <x:c r="O246" s="1"/>
      <x:c r="P246" s="1"/>
      <x:c r="Q246" s="1"/>
    </x:row>
    <x:row r="247" ht="22" customHeight="1">
      <x:c r="A247" s="1" t="str">
        <x:v>O0242</x:v>
      </x:c>
      <x:c r="B247" s="1" t="str">
        <x:v>Simulated Noida Management Institute 242</x:v>
      </x:c>
      <x:c r="C247" s="1" t="str">
        <x:v>North</x:v>
      </x:c>
      <x:c r="D247" s="1" t="str">
        <x:v>Closed Lost</x:v>
      </x:c>
      <x:c r="E247" s="1" t="str">
        <x:v>Lost</x:v>
      </x:c>
      <x:c r="F247" s="7" t="n">
        <x:v>222000</x:v>
      </x:c>
      <x:c r="G247" s="8" t="d">
        <x:v>2026-06-13T00:00:00.000Z</x:v>
      </x:c>
      <x:c r="H247" s="8" t="d">
        <x:v>2026-10-27T00:00:00.000Z</x:v>
      </x:c>
      <x:c r="I247" s="8" t="d">
        <x:v>2026-09-20T00:00:00.000Z</x:v>
      </x:c>
      <x:c r="J247" s="7" t="n">
        <x:v>0</x:v>
      </x:c>
      <x:c r="K247" s="1" t="n">
        <x:v>0</x:v>
      </x:c>
      <x:c r="L247" s="1" t="n">
        <x:v>0</x:v>
      </x:c>
      <x:c r="M247" s="1" t="n">
        <x:v>10</x:v>
      </x:c>
      <x:c r="N247" s="1"/>
      <x:c r="O247" s="1"/>
      <x:c r="P247" s="1"/>
      <x:c r="Q247" s="1"/>
    </x:row>
    <x:row r="248" ht="22" customHeight="1">
      <x:c r="A248" s="1" t="str">
        <x:v>O0243</x:v>
      </x:c>
      <x:c r="B248" s="1" t="str">
        <x:v>Simulated Gurugram Engineering College 243</x:v>
      </x:c>
      <x:c r="C248" s="1" t="str">
        <x:v>North</x:v>
      </x:c>
      <x:c r="D248" s="1" t="str">
        <x:v>Closed Lost</x:v>
      </x:c>
      <x:c r="E248" s="1" t="str">
        <x:v>Lost</x:v>
      </x:c>
      <x:c r="F248" s="7" t="n">
        <x:v>180000</x:v>
      </x:c>
      <x:c r="G248" s="8" t="d">
        <x:v>2026-09-06T00:00:00.000Z</x:v>
      </x:c>
      <x:c r="H248" s="8" t="d">
        <x:v>2026-12-24T00:00:00.000Z</x:v>
      </x:c>
      <x:c r="I248" s="8" t="d">
        <x:v>2026-09-21T00:00:00.000Z</x:v>
      </x:c>
      <x:c r="J248" s="7" t="n">
        <x:v>0</x:v>
      </x:c>
      <x:c r="K248" s="1" t="n">
        <x:v>0</x:v>
      </x:c>
      <x:c r="L248" s="1" t="n">
        <x:v>0</x:v>
      </x:c>
      <x:c r="M248" s="1" t="n">
        <x:v>9</x:v>
      </x:c>
      <x:c r="N248" s="1"/>
      <x:c r="O248" s="1"/>
      <x:c r="P248" s="1"/>
      <x:c r="Q248" s="1"/>
    </x:row>
    <x:row r="249" ht="22" customHeight="1">
      <x:c r="A249" s="1" t="str">
        <x:v>O0244</x:v>
      </x:c>
      <x:c r="B249" s="1" t="str">
        <x:v>Simulated Ludhiana University 244</x:v>
      </x:c>
      <x:c r="C249" s="1" t="str">
        <x:v>North</x:v>
      </x:c>
      <x:c r="D249" s="1" t="str">
        <x:v>Closed Won</x:v>
      </x:c>
      <x:c r="E249" s="1" t="str">
        <x:v>Won</x:v>
      </x:c>
      <x:c r="F249" s="7" t="n">
        <x:v>436000</x:v>
      </x:c>
      <x:c r="G249" s="8" t="d">
        <x:v>2026-01-18T00:00:00.000Z</x:v>
      </x:c>
      <x:c r="H249" s="8" t="d">
        <x:v>2026-04-18T00:00:00.000Z</x:v>
      </x:c>
      <x:c r="I249" s="8" t="d">
        <x:v>2026-05-11T00:00:00.000Z</x:v>
      </x:c>
      <x:c r="J249" s="7" t="n">
        <x:v>170816.44</x:v>
      </x:c>
      <x:c r="K249" s="1" t="n">
        <x:v>0</x:v>
      </x:c>
      <x:c r="L249" s="1" t="n">
        <x:v>0</x:v>
      </x:c>
      <x:c r="M249" s="1" t="n">
        <x:v>142</x:v>
      </x:c>
      <x:c r="N249" s="1"/>
      <x:c r="O249" s="1"/>
      <x:c r="P249" s="1"/>
      <x:c r="Q249" s="1"/>
    </x:row>
    <x:row r="250" ht="22" customHeight="1">
      <x:c r="A250" s="1" t="str">
        <x:v>O0245</x:v>
      </x:c>
      <x:c r="B250" s="1" t="str">
        <x:v>Simulated Pune Management Institute 245</x:v>
      </x:c>
      <x:c r="C250" s="1" t="str">
        <x:v>West</x:v>
      </x:c>
      <x:c r="D250" s="1" t="str">
        <x:v>Proposal Sent</x:v>
      </x:c>
      <x:c r="E250" s="1" t="str">
        <x:v>Open</x:v>
      </x:c>
      <x:c r="F250" s="7" t="n">
        <x:v>171000</x:v>
      </x:c>
      <x:c r="G250" s="8" t="d">
        <x:v>2026-06-01T00:00:00.000Z</x:v>
      </x:c>
      <x:c r="H250" s="8" t="d">
        <x:v>2026-09-18T00:00:00.000Z</x:v>
      </x:c>
      <x:c r="I250" s="8"/>
      <x:c r="J250" s="7" t="n">
        <x:v>0</x:v>
      </x:c>
      <x:c r="K250" s="1" t="n">
        <x:v>48.96</x:v>
      </x:c>
      <x:c r="L250" s="1" t="n">
        <x:v>0</x:v>
      </x:c>
      <x:c r="M250" s="1" t="n">
        <x:v>21</x:v>
      </x:c>
      <x:c r="N250" s="1"/>
      <x:c r="O250" s="1"/>
      <x:c r="P250" s="1"/>
      <x:c r="Q250" s="1"/>
    </x:row>
    <x:row r="251" ht="22" customHeight="1">
      <x:c r="A251" s="1" t="str">
        <x:v>O0246</x:v>
      </x:c>
      <x:c r="B251" s="1" t="str">
        <x:v>Simulated Ahmedabad Arts and Science College 246</x:v>
      </x:c>
      <x:c r="C251" s="1" t="str">
        <x:v>West</x:v>
      </x:c>
      <x:c r="D251" s="1" t="str">
        <x:v>Qualified</x:v>
      </x:c>
      <x:c r="E251" s="1" t="str">
        <x:v>Open</x:v>
      </x:c>
      <x:c r="F251" s="7" t="n">
        <x:v>178000</x:v>
      </x:c>
      <x:c r="G251" s="8" t="d">
        <x:v>2026-06-13T00:00:00.000Z</x:v>
      </x:c>
      <x:c r="H251" s="8" t="d">
        <x:v>2026-11-08T00:00:00.000Z</x:v>
      </x:c>
      <x:c r="I251" s="8"/>
      <x:c r="J251" s="7" t="n">
        <x:v>0</x:v>
      </x:c>
      <x:c r="K251" s="1" t="n">
        <x:v>37.88</x:v>
      </x:c>
      <x:c r="L251" s="1" t="n">
        <x:v>1</x:v>
      </x:c>
      <x:c r="M251" s="1" t="n">
        <x:v>99</x:v>
      </x:c>
      <x:c r="N251" s="1"/>
      <x:c r="O251" s="1"/>
      <x:c r="P251" s="1"/>
      <x:c r="Q251" s="1"/>
    </x:row>
    <x:row r="252" ht="22" customHeight="1">
      <x:c r="A252" s="1" t="str">
        <x:v>O0247</x:v>
      </x:c>
      <x:c r="B252" s="1" t="str">
        <x:v>Simulated Jaipur University 247</x:v>
      </x:c>
      <x:c r="C252" s="1" t="str">
        <x:v>West</x:v>
      </x:c>
      <x:c r="D252" s="1" t="str">
        <x:v>Prospect Identified</x:v>
      </x:c>
      <x:c r="E252" s="1" t="str">
        <x:v>Open</x:v>
      </x:c>
      <x:c r="F252" s="7" t="n">
        <x:v>951000</x:v>
      </x:c>
      <x:c r="G252" s="8" t="d">
        <x:v>2026-02-07T00:00:00.000Z</x:v>
      </x:c>
      <x:c r="H252" s="8" t="d">
        <x:v>2026-07-01T00:00:00.000Z</x:v>
      </x:c>
      <x:c r="I252" s="8"/>
      <x:c r="J252" s="7" t="n">
        <x:v>0</x:v>
      </x:c>
      <x:c r="K252" s="1" t="n">
        <x:v>59.52</x:v>
      </x:c>
      <x:c r="L252" s="1" t="n">
        <x:v>1</x:v>
      </x:c>
      <x:c r="M252" s="1" t="n">
        <x:v>235</x:v>
      </x:c>
      <x:c r="N252" s="1"/>
      <x:c r="O252" s="1"/>
      <x:c r="P252" s="1"/>
      <x:c r="Q252" s="1"/>
    </x:row>
    <x:row r="253" ht="22" customHeight="1">
      <x:c r="A253" s="1" t="str">
        <x:v>O0248</x:v>
      </x:c>
      <x:c r="B253" s="1" t="str">
        <x:v>Simulated Bengaluru Management Institute 248</x:v>
      </x:c>
      <x:c r="C253" s="1" t="str">
        <x:v>South</x:v>
      </x:c>
      <x:c r="D253" s="1" t="str">
        <x:v>Initial Contact</x:v>
      </x:c>
      <x:c r="E253" s="1" t="str">
        <x:v>Open</x:v>
      </x:c>
      <x:c r="F253" s="7" t="n">
        <x:v>216000</x:v>
      </x:c>
      <x:c r="G253" s="8" t="d">
        <x:v>2025-12-06T00:00:00.000Z</x:v>
      </x:c>
      <x:c r="H253" s="8" t="d">
        <x:v>2026-03-26T00:00:00.000Z</x:v>
      </x:c>
      <x:c r="I253" s="8"/>
      <x:c r="J253" s="7" t="n">
        <x:v>0</x:v>
      </x:c>
      <x:c r="K253" s="1" t="n">
        <x:v>54.25</x:v>
      </x:c>
      <x:c r="L253" s="1" t="n">
        <x:v>1</x:v>
      </x:c>
      <x:c r="M253" s="1" t="n">
        <x:v>265</x:v>
      </x:c>
      <x:c r="N253" s="1"/>
      <x:c r="O253" s="1"/>
      <x:c r="P253" s="1"/>
      <x:c r="Q253" s="1"/>
    </x:row>
    <x:row r="254" ht="22" customHeight="1">
      <x:c r="A254" s="1" t="str">
        <x:v>O0249</x:v>
      </x:c>
      <x:c r="B254" s="1" t="str">
        <x:v>Simulated Chennai Management Institute 249</x:v>
      </x:c>
      <x:c r="C254" s="1" t="str">
        <x:v>South</x:v>
      </x:c>
      <x:c r="D254" s="1" t="str">
        <x:v>Qualified</x:v>
      </x:c>
      <x:c r="E254" s="1" t="str">
        <x:v>Open</x:v>
      </x:c>
      <x:c r="F254" s="7" t="n">
        <x:v>293000</x:v>
      </x:c>
      <x:c r="G254" s="8" t="d">
        <x:v>2026-07-13T00:00:00.000Z</x:v>
      </x:c>
      <x:c r="H254" s="8" t="d">
        <x:v>2026-11-11T00:00:00.000Z</x:v>
      </x:c>
      <x:c r="I254" s="8"/>
      <x:c r="J254" s="7" t="n">
        <x:v>0</x:v>
      </x:c>
      <x:c r="K254" s="1" t="n">
        <x:v>52.04</x:v>
      </x:c>
      <x:c r="L254" s="1" t="n">
        <x:v>1</x:v>
      </x:c>
      <x:c r="M254" s="1" t="n">
        <x:v>70</x:v>
      </x:c>
      <x:c r="N254" s="1"/>
      <x:c r="O254" s="1"/>
      <x:c r="P254" s="1"/>
      <x:c r="Q254" s="1"/>
    </x:row>
    <x:row r="255" ht="22" customHeight="1">
      <x:c r="A255" s="1" t="str">
        <x:v>O0250</x:v>
      </x:c>
      <x:c r="B255" s="1" t="str">
        <x:v>Simulated Hyderabad Management Institute 250</x:v>
      </x:c>
      <x:c r="C255" s="1" t="str">
        <x:v>South</x:v>
      </x:c>
      <x:c r="D255" s="1" t="str">
        <x:v>Initial Contact</x:v>
      </x:c>
      <x:c r="E255" s="1" t="str">
        <x:v>Open</x:v>
      </x:c>
      <x:c r="F255" s="7" t="n">
        <x:v>203000</x:v>
      </x:c>
      <x:c r="G255" s="8" t="d">
        <x:v>2026-04-22T00:00:00.000Z</x:v>
      </x:c>
      <x:c r="H255" s="8" t="d">
        <x:v>2026-07-13T00:00:00.000Z</x:v>
      </x:c>
      <x:c r="I255" s="8"/>
      <x:c r="J255" s="7" t="n">
        <x:v>0</x:v>
      </x:c>
      <x:c r="K255" s="1" t="n">
        <x:v>50.74</x:v>
      </x:c>
      <x:c r="L255" s="1" t="n">
        <x:v>1</x:v>
      </x:c>
      <x:c r="M255" s="1" t="n">
        <x:v>118</x:v>
      </x:c>
      <x:c r="N255" s="1"/>
      <x:c r="O255" s="1"/>
      <x:c r="P255" s="1"/>
      <x:c r="Q255" s="1"/>
    </x:row>
    <x:row r="256" ht="22" customHeight="1">
      <x:c r="A256" s="1" t="str">
        <x:v>O0251</x:v>
      </x:c>
      <x:c r="B256" s="1" t="str">
        <x:v>Simulated Kolkata Management Institute 251</x:v>
      </x:c>
      <x:c r="C256" s="1" t="str">
        <x:v>East</x:v>
      </x:c>
      <x:c r="D256" s="1" t="str">
        <x:v>Prospect Identified</x:v>
      </x:c>
      <x:c r="E256" s="1" t="str">
        <x:v>Open</x:v>
      </x:c>
      <x:c r="F256" s="7" t="n">
        <x:v>392000</x:v>
      </x:c>
      <x:c r="G256" s="8" t="d">
        <x:v>2026-02-23T00:00:00.000Z</x:v>
      </x:c>
      <x:c r="H256" s="8" t="d">
        <x:v>2026-06-29T00:00:00.000Z</x:v>
      </x:c>
      <x:c r="I256" s="8"/>
      <x:c r="J256" s="7" t="n">
        <x:v>0</x:v>
      </x:c>
      <x:c r="K256" s="1" t="n">
        <x:v>39.86</x:v>
      </x:c>
      <x:c r="L256" s="1" t="n">
        <x:v>1</x:v>
      </x:c>
      <x:c r="M256" s="1" t="n">
        <x:v>219</x:v>
      </x:c>
      <x:c r="N256" s="1"/>
      <x:c r="O256" s="1"/>
      <x:c r="P256" s="1"/>
      <x:c r="Q256" s="1"/>
    </x:row>
    <x:row r="257" ht="22" customHeight="1">
      <x:c r="A257" s="1" t="str">
        <x:v>O0252</x:v>
      </x:c>
      <x:c r="B257" s="1" t="str">
        <x:v>Simulated Bhubaneswar Management Institute 252</x:v>
      </x:c>
      <x:c r="C257" s="1" t="str">
        <x:v>East</x:v>
      </x:c>
      <x:c r="D257" s="1" t="str">
        <x:v>Closed Lost</x:v>
      </x:c>
      <x:c r="E257" s="1" t="str">
        <x:v>Lost</x:v>
      </x:c>
      <x:c r="F257" s="7" t="n">
        <x:v>93000</x:v>
      </x:c>
      <x:c r="G257" s="8" t="d">
        <x:v>2026-07-14T00:00:00.000Z</x:v>
      </x:c>
      <x:c r="H257" s="8" t="d">
        <x:v>2026-10-02T00:00:00.000Z</x:v>
      </x:c>
      <x:c r="I257" s="8" t="d">
        <x:v>2026-08-23T00:00:00.000Z</x:v>
      </x:c>
      <x:c r="J257" s="7" t="n">
        <x:v>0</x:v>
      </x:c>
      <x:c r="K257" s="1" t="n">
        <x:v>0</x:v>
      </x:c>
      <x:c r="L257" s="1" t="n">
        <x:v>0</x:v>
      </x:c>
      <x:c r="M257" s="1" t="n">
        <x:v>38</x:v>
      </x:c>
      <x:c r="N257" s="1"/>
      <x:c r="O257" s="1"/>
      <x:c r="P257" s="1"/>
      <x:c r="Q257" s="1"/>
    </x:row>
    <x:row r="258" ht="22" customHeight="1">
      <x:c r="A258" s="1" t="str">
        <x:v>O0253</x:v>
      </x:c>
      <x:c r="B258" s="1" t="str">
        <x:v>Simulated Patna University 253</x:v>
      </x:c>
      <x:c r="C258" s="1" t="str">
        <x:v>East</x:v>
      </x:c>
      <x:c r="D258" s="1" t="str">
        <x:v>Qualified</x:v>
      </x:c>
      <x:c r="E258" s="1" t="str">
        <x:v>Open</x:v>
      </x:c>
      <x:c r="F258" s="7" t="n">
        <x:v>145000</x:v>
      </x:c>
      <x:c r="G258" s="8" t="d">
        <x:v>2025-10-22T00:00:00.000Z</x:v>
      </x:c>
      <x:c r="H258" s="8" t="d">
        <x:v>2026-02-16T00:00:00.000Z</x:v>
      </x:c>
      <x:c r="I258" s="8"/>
      <x:c r="J258" s="7" t="n">
        <x:v>0</x:v>
      </x:c>
      <x:c r="K258" s="1" t="n">
        <x:v>52.21</x:v>
      </x:c>
      <x:c r="L258" s="1" t="n">
        <x:v>1</x:v>
      </x:c>
      <x:c r="M258" s="1" t="n">
        <x:v>319</x:v>
      </x:c>
      <x:c r="N258" s="1"/>
      <x:c r="O258" s="1"/>
      <x:c r="P258" s="1"/>
      <x:c r="Q258" s="1"/>
    </x:row>
    <x:row r="259" ht="22" customHeight="1">
      <x:c r="A259" s="1" t="str">
        <x:v>O0254</x:v>
      </x:c>
      <x:c r="B259" s="1" t="str">
        <x:v>Simulated Guwahati Management Institute 254</x:v>
      </x:c>
      <x:c r="C259" s="1" t="str">
        <x:v>Northeast</x:v>
      </x:c>
      <x:c r="D259" s="1" t="str">
        <x:v>Qualified</x:v>
      </x:c>
      <x:c r="E259" s="1" t="str">
        <x:v>Open</x:v>
      </x:c>
      <x:c r="F259" s="7" t="n">
        <x:v>94000</x:v>
      </x:c>
      <x:c r="G259" s="8" t="d">
        <x:v>2026-09-03T00:00:00.000Z</x:v>
      </x:c>
      <x:c r="H259" s="8" t="d">
        <x:v>2026-12-09T00:00:00.000Z</x:v>
      </x:c>
      <x:c r="I259" s="8"/>
      <x:c r="J259" s="7" t="n">
        <x:v>0</x:v>
      </x:c>
      <x:c r="K259" s="1" t="n">
        <x:v>42.06</x:v>
      </x:c>
      <x:c r="L259" s="1" t="n">
        <x:v>0</x:v>
      </x:c>
      <x:c r="M259" s="1" t="n">
        <x:v>8</x:v>
      </x:c>
      <x:c r="N259" s="1"/>
      <x:c r="O259" s="1"/>
      <x:c r="P259" s="1"/>
      <x:c r="Q259" s="1"/>
    </x:row>
    <x:row r="260" ht="22" customHeight="1">
      <x:c r="A260" s="1" t="str">
        <x:v>O0255</x:v>
      </x:c>
      <x:c r="B260" s="1" t="str">
        <x:v>Simulated Indore Arts and Science College 255</x:v>
      </x:c>
      <x:c r="C260" s="1" t="str">
        <x:v>Central</x:v>
      </x:c>
      <x:c r="D260" s="1" t="str">
        <x:v>Closed Lost</x:v>
      </x:c>
      <x:c r="E260" s="1" t="str">
        <x:v>Lost</x:v>
      </x:c>
      <x:c r="F260" s="7" t="n">
        <x:v>265000</x:v>
      </x:c>
      <x:c r="G260" s="8" t="d">
        <x:v>2026-03-15T00:00:00.000Z</x:v>
      </x:c>
      <x:c r="H260" s="8" t="d">
        <x:v>2026-07-07T00:00:00.000Z</x:v>
      </x:c>
      <x:c r="I260" s="8" t="d">
        <x:v>2026-06-25T00:00:00.000Z</x:v>
      </x:c>
      <x:c r="J260" s="7" t="n">
        <x:v>0</x:v>
      </x:c>
      <x:c r="K260" s="1" t="n">
        <x:v>0</x:v>
      </x:c>
      <x:c r="L260" s="1" t="n">
        <x:v>0</x:v>
      </x:c>
      <x:c r="M260" s="1" t="n">
        <x:v>97</x:v>
      </x:c>
      <x:c r="N260" s="1"/>
      <x:c r="O260" s="1"/>
      <x:c r="P260" s="1"/>
      <x:c r="Q260" s="1"/>
    </x:row>
    <x:row r="261" ht="22" customHeight="1">
      <x:c r="A261" s="1" t="str">
        <x:v>O0256</x:v>
      </x:c>
      <x:c r="B261" s="1" t="str">
        <x:v>Simulated New Delhi Arts and Science College 256</x:v>
      </x:c>
      <x:c r="C261" s="1" t="str">
        <x:v>North</x:v>
      </x:c>
      <x:c r="D261" s="1" t="str">
        <x:v>Prospect Identified</x:v>
      </x:c>
      <x:c r="E261" s="1" t="str">
        <x:v>Open</x:v>
      </x:c>
      <x:c r="F261" s="7" t="n">
        <x:v>308000</x:v>
      </x:c>
      <x:c r="G261" s="8" t="d">
        <x:v>2026-09-14T00:00:00.000Z</x:v>
      </x:c>
      <x:c r="H261" s="8" t="d">
        <x:v>2027-01-23T00:00:00.000Z</x:v>
      </x:c>
      <x:c r="I261" s="8"/>
      <x:c r="J261" s="7" t="n">
        <x:v>0</x:v>
      </x:c>
      <x:c r="K261" s="1" t="n">
        <x:v>43.01</x:v>
      </x:c>
      <x:c r="L261" s="1" t="n">
        <x:v>0</x:v>
      </x:c>
      <x:c r="M261" s="1" t="n">
        <x:v>16</x:v>
      </x:c>
      <x:c r="N261" s="1"/>
      <x:c r="O261" s="1"/>
      <x:c r="P261" s="1"/>
      <x:c r="Q261" s="1"/>
    </x:row>
    <x:row r="262" ht="22" customHeight="1">
      <x:c r="A262" s="1" t="str">
        <x:v>O0257</x:v>
      </x:c>
      <x:c r="B262" s="1" t="str">
        <x:v>Simulated Noida University 257</x:v>
      </x:c>
      <x:c r="C262" s="1" t="str">
        <x:v>North</x:v>
      </x:c>
      <x:c r="D262" s="1" t="str">
        <x:v>Closed Lost</x:v>
      </x:c>
      <x:c r="E262" s="1" t="str">
        <x:v>Lost</x:v>
      </x:c>
      <x:c r="F262" s="7" t="n">
        <x:v>311000</x:v>
      </x:c>
      <x:c r="G262" s="8" t="d">
        <x:v>2026-01-09T00:00:00.000Z</x:v>
      </x:c>
      <x:c r="H262" s="8" t="d">
        <x:v>2026-03-30T00:00:00.000Z</x:v>
      </x:c>
      <x:c r="I262" s="8" t="d">
        <x:v>2026-01-29T00:00:00.000Z</x:v>
      </x:c>
      <x:c r="J262" s="7" t="n">
        <x:v>0</x:v>
      </x:c>
      <x:c r="K262" s="1" t="n">
        <x:v>0</x:v>
      </x:c>
      <x:c r="L262" s="1" t="n">
        <x:v>0</x:v>
      </x:c>
      <x:c r="M262" s="1" t="n">
        <x:v>244</x:v>
      </x:c>
      <x:c r="N262" s="1"/>
      <x:c r="O262" s="1"/>
      <x:c r="P262" s="1"/>
      <x:c r="Q262" s="1"/>
    </x:row>
    <x:row r="263" ht="22" customHeight="1">
      <x:c r="A263" s="1" t="str">
        <x:v>O0258</x:v>
      </x:c>
      <x:c r="B263" s="1" t="str">
        <x:v>Simulated Gurugram Arts and Science College 258</x:v>
      </x:c>
      <x:c r="C263" s="1" t="str">
        <x:v>North</x:v>
      </x:c>
      <x:c r="D263" s="1" t="str">
        <x:v>Qualified</x:v>
      </x:c>
      <x:c r="E263" s="1" t="str">
        <x:v>Open</x:v>
      </x:c>
      <x:c r="F263" s="7" t="n">
        <x:v>182000</x:v>
      </x:c>
      <x:c r="G263" s="8" t="d">
        <x:v>2025-10-28T00:00:00.000Z</x:v>
      </x:c>
      <x:c r="H263" s="8" t="d">
        <x:v>2026-02-12T00:00:00.000Z</x:v>
      </x:c>
      <x:c r="I263" s="8"/>
      <x:c r="J263" s="7" t="n">
        <x:v>0</x:v>
      </x:c>
      <x:c r="K263" s="1" t="n">
        <x:v>40.8</x:v>
      </x:c>
      <x:c r="L263" s="1" t="n">
        <x:v>1</x:v>
      </x:c>
      <x:c r="M263" s="1" t="n">
        <x:v>320</x:v>
      </x:c>
      <x:c r="N263" s="1"/>
      <x:c r="O263" s="1"/>
      <x:c r="P263" s="1"/>
      <x:c r="Q263" s="1"/>
    </x:row>
    <x:row r="264" ht="22" customHeight="1">
      <x:c r="A264" s="1" t="str">
        <x:v>O0259</x:v>
      </x:c>
      <x:c r="B264" s="1" t="str">
        <x:v>Simulated Ludhiana Engineering College 259</x:v>
      </x:c>
      <x:c r="C264" s="1" t="str">
        <x:v>North</x:v>
      </x:c>
      <x:c r="D264" s="1" t="str">
        <x:v>Closed Lost</x:v>
      </x:c>
      <x:c r="E264" s="1" t="str">
        <x:v>Lost</x:v>
      </x:c>
      <x:c r="F264" s="7" t="n">
        <x:v>196000</x:v>
      </x:c>
      <x:c r="G264" s="8" t="d">
        <x:v>2025-10-04T00:00:00.000Z</x:v>
      </x:c>
      <x:c r="H264" s="8" t="d">
        <x:v>2026-02-26T00:00:00.000Z</x:v>
      </x:c>
      <x:c r="I264" s="8" t="d">
        <x:v>2025-11-03T00:00:00.000Z</x:v>
      </x:c>
      <x:c r="J264" s="7" t="n">
        <x:v>0</x:v>
      </x:c>
      <x:c r="K264" s="1" t="n">
        <x:v>0</x:v>
      </x:c>
      <x:c r="L264" s="1" t="n">
        <x:v>0</x:v>
      </x:c>
      <x:c r="M264" s="1" t="n">
        <x:v>331</x:v>
      </x:c>
      <x:c r="N264" s="1"/>
      <x:c r="O264" s="1"/>
      <x:c r="P264" s="1"/>
      <x:c r="Q264" s="1"/>
    </x:row>
    <x:row r="265" ht="22" customHeight="1">
      <x:c r="A265" s="1" t="str">
        <x:v>O0260</x:v>
      </x:c>
      <x:c r="B265" s="1" t="str">
        <x:v>Simulated Pune University 260</x:v>
      </x:c>
      <x:c r="C265" s="1" t="str">
        <x:v>West</x:v>
      </x:c>
      <x:c r="D265" s="1" t="str">
        <x:v>Closed Won</x:v>
      </x:c>
      <x:c r="E265" s="1" t="str">
        <x:v>Won</x:v>
      </x:c>
      <x:c r="F265" s="7" t="n">
        <x:v>828000</x:v>
      </x:c>
      <x:c r="G265" s="8" t="d">
        <x:v>2025-12-11T00:00:00.000Z</x:v>
      </x:c>
      <x:c r="H265" s="8" t="d">
        <x:v>2026-03-02T00:00:00.000Z</x:v>
      </x:c>
      <x:c r="I265" s="8" t="d">
        <x:v>2026-03-23T00:00:00.000Z</x:v>
      </x:c>
      <x:c r="J265" s="7" t="n">
        <x:v>435550.68</x:v>
      </x:c>
      <x:c r="K265" s="1" t="n">
        <x:v>0</x:v>
      </x:c>
      <x:c r="L265" s="1" t="n">
        <x:v>0</x:v>
      </x:c>
      <x:c r="M265" s="1" t="n">
        <x:v>191</x:v>
      </x:c>
      <x:c r="N265" s="1"/>
      <x:c r="O265" s="1"/>
      <x:c r="P265" s="1"/>
      <x:c r="Q265" s="1"/>
    </x:row>
    <x:row r="266" ht="22" customHeight="1">
      <x:c r="A266" s="1" t="str">
        <x:v>O0261</x:v>
      </x:c>
      <x:c r="B266" s="1" t="str">
        <x:v>Simulated Ahmedabad Engineering College 261</x:v>
      </x:c>
      <x:c r="C266" s="1" t="str">
        <x:v>West</x:v>
      </x:c>
      <x:c r="D266" s="1" t="str">
        <x:v>Closed Lost</x:v>
      </x:c>
      <x:c r="E266" s="1" t="str">
        <x:v>Lost</x:v>
      </x:c>
      <x:c r="F266" s="7" t="n">
        <x:v>186000</x:v>
      </x:c>
      <x:c r="G266" s="8" t="d">
        <x:v>2026-07-05T00:00:00.000Z</x:v>
      </x:c>
      <x:c r="H266" s="8" t="d">
        <x:v>2026-11-01T00:00:00.000Z</x:v>
      </x:c>
      <x:c r="I266" s="8" t="d">
        <x:v>2026-07-24T00:00:00.000Z</x:v>
      </x:c>
      <x:c r="J266" s="7" t="n">
        <x:v>0</x:v>
      </x:c>
      <x:c r="K266" s="1" t="n">
        <x:v>0</x:v>
      </x:c>
      <x:c r="L266" s="1" t="n">
        <x:v>0</x:v>
      </x:c>
      <x:c r="M266" s="1" t="n">
        <x:v>68</x:v>
      </x:c>
      <x:c r="N266" s="1"/>
      <x:c r="O266" s="1"/>
      <x:c r="P266" s="1"/>
      <x:c r="Q266" s="1"/>
    </x:row>
    <x:row r="267" ht="22" customHeight="1">
      <x:c r="A267" s="1" t="str">
        <x:v>O0262</x:v>
      </x:c>
      <x:c r="B267" s="1" t="str">
        <x:v>Simulated Jaipur Engineering College 262</x:v>
      </x:c>
      <x:c r="C267" s="1" t="str">
        <x:v>West</x:v>
      </x:c>
      <x:c r="D267" s="1" t="str">
        <x:v>Prospect Identified</x:v>
      </x:c>
      <x:c r="E267" s="1" t="str">
        <x:v>Open</x:v>
      </x:c>
      <x:c r="F267" s="7" t="n">
        <x:v>197000</x:v>
      </x:c>
      <x:c r="G267" s="8" t="d">
        <x:v>2026-01-14T00:00:00.000Z</x:v>
      </x:c>
      <x:c r="H267" s="8" t="d">
        <x:v>2026-06-05T00:00:00.000Z</x:v>
      </x:c>
      <x:c r="I267" s="8"/>
      <x:c r="J267" s="7" t="n">
        <x:v>0</x:v>
      </x:c>
      <x:c r="K267" s="1" t="n">
        <x:v>52.76</x:v>
      </x:c>
      <x:c r="L267" s="1" t="n">
        <x:v>1</x:v>
      </x:c>
      <x:c r="M267" s="1" t="n">
        <x:v>259</x:v>
      </x:c>
      <x:c r="N267" s="1"/>
      <x:c r="O267" s="1"/>
      <x:c r="P267" s="1"/>
      <x:c r="Q267" s="1"/>
    </x:row>
    <x:row r="268" ht="22" customHeight="1">
      <x:c r="A268" s="1" t="str">
        <x:v>O0263</x:v>
      </x:c>
      <x:c r="B268" s="1" t="str">
        <x:v>Simulated Bengaluru Arts and Science College 263</x:v>
      </x:c>
      <x:c r="C268" s="1" t="str">
        <x:v>South</x:v>
      </x:c>
      <x:c r="D268" s="1" t="str">
        <x:v>Prospect Identified</x:v>
      </x:c>
      <x:c r="E268" s="1" t="str">
        <x:v>Open</x:v>
      </x:c>
      <x:c r="F268" s="7" t="n">
        <x:v>206000</x:v>
      </x:c>
      <x:c r="G268" s="8" t="d">
        <x:v>2026-09-11T00:00:00.000Z</x:v>
      </x:c>
      <x:c r="H268" s="8" t="d">
        <x:v>2027-01-05T00:00:00.000Z</x:v>
      </x:c>
      <x:c r="I268" s="8"/>
      <x:c r="J268" s="7" t="n">
        <x:v>0</x:v>
      </x:c>
      <x:c r="K268" s="1" t="n">
        <x:v>47.51</x:v>
      </x:c>
      <x:c r="L268" s="1" t="n">
        <x:v>0</x:v>
      </x:c>
      <x:c r="M268" s="1" t="n">
        <x:v>19</x:v>
      </x:c>
      <x:c r="N268" s="1"/>
      <x:c r="O268" s="1"/>
      <x:c r="P268" s="1"/>
      <x:c r="Q268" s="1"/>
    </x:row>
    <x:row r="269" ht="22" customHeight="1">
      <x:c r="A269" s="1" t="str">
        <x:v>O0264</x:v>
      </x:c>
      <x:c r="B269" s="1" t="str">
        <x:v>Simulated Chennai University 264</x:v>
      </x:c>
      <x:c r="C269" s="1" t="str">
        <x:v>South</x:v>
      </x:c>
      <x:c r="D269" s="1" t="str">
        <x:v>Closed Won</x:v>
      </x:c>
      <x:c r="E269" s="1" t="str">
        <x:v>Won</x:v>
      </x:c>
      <x:c r="F269" s="7" t="n">
        <x:v>373000</x:v>
      </x:c>
      <x:c r="G269" s="8" t="d">
        <x:v>2026-02-21T00:00:00.000Z</x:v>
      </x:c>
      <x:c r="H269" s="8" t="d">
        <x:v>2026-05-15T00:00:00.000Z</x:v>
      </x:c>
      <x:c r="I269" s="8" t="d">
        <x:v>2026-07-03T00:00:00.000Z</x:v>
      </x:c>
      <x:c r="J269" s="7" t="n">
        <x:v>91972.6</x:v>
      </x:c>
      <x:c r="K269" s="1" t="n">
        <x:v>0</x:v>
      </x:c>
      <x:c r="L269" s="1" t="n">
        <x:v>0</x:v>
      </x:c>
      <x:c r="M269" s="1" t="n">
        <x:v>89</x:v>
      </x:c>
      <x:c r="N269" s="1"/>
      <x:c r="O269" s="1"/>
      <x:c r="P269" s="1"/>
      <x:c r="Q269" s="1"/>
    </x:row>
    <x:row r="270" ht="22" customHeight="1">
      <x:c r="A270" s="1" t="str">
        <x:v>O0265</x:v>
      </x:c>
      <x:c r="B270" s="1" t="str">
        <x:v>Simulated Hyderabad Engineering College 265</x:v>
      </x:c>
      <x:c r="C270" s="1" t="str">
        <x:v>South</x:v>
      </x:c>
      <x:c r="D270" s="1" t="str">
        <x:v>Closed Lost</x:v>
      </x:c>
      <x:c r="E270" s="1" t="str">
        <x:v>Lost</x:v>
      </x:c>
      <x:c r="F270" s="7" t="n">
        <x:v>99000</x:v>
      </x:c>
      <x:c r="G270" s="8" t="d">
        <x:v>2026-01-23T00:00:00.000Z</x:v>
      </x:c>
      <x:c r="H270" s="8" t="d">
        <x:v>2026-05-12T00:00:00.000Z</x:v>
      </x:c>
      <x:c r="I270" s="8" t="d">
        <x:v>2026-03-08T00:00:00.000Z</x:v>
      </x:c>
      <x:c r="J270" s="7" t="n">
        <x:v>0</x:v>
      </x:c>
      <x:c r="K270" s="1" t="n">
        <x:v>0</x:v>
      </x:c>
      <x:c r="L270" s="1" t="n">
        <x:v>0</x:v>
      </x:c>
      <x:c r="M270" s="1" t="n">
        <x:v>206</x:v>
      </x:c>
      <x:c r="N270" s="1"/>
      <x:c r="O270" s="1"/>
      <x:c r="P270" s="1"/>
      <x:c r="Q270" s="1"/>
    </x:row>
    <x:row r="271" ht="22" customHeight="1">
      <x:c r="A271" s="1" t="str">
        <x:v>O0266</x:v>
      </x:c>
      <x:c r="B271" s="1" t="str">
        <x:v>Simulated Kolkata Arts and Science College 266</x:v>
      </x:c>
      <x:c r="C271" s="1" t="str">
        <x:v>East</x:v>
      </x:c>
      <x:c r="D271" s="1" t="str">
        <x:v>Initial Contact</x:v>
      </x:c>
      <x:c r="E271" s="1" t="str">
        <x:v>Open</x:v>
      </x:c>
      <x:c r="F271" s="7" t="n">
        <x:v>209000</x:v>
      </x:c>
      <x:c r="G271" s="8" t="d">
        <x:v>2026-08-24T00:00:00.000Z</x:v>
      </x:c>
      <x:c r="H271" s="8" t="d">
        <x:v>2026-12-03T00:00:00.000Z</x:v>
      </x:c>
      <x:c r="I271" s="8"/>
      <x:c r="J271" s="7" t="n">
        <x:v>0</x:v>
      </x:c>
      <x:c r="K271" s="1" t="n">
        <x:v>53.95</x:v>
      </x:c>
      <x:c r="L271" s="1" t="n">
        <x:v>0</x:v>
      </x:c>
      <x:c r="M271" s="1" t="n">
        <x:v>9</x:v>
      </x:c>
      <x:c r="N271" s="1"/>
      <x:c r="O271" s="1"/>
      <x:c r="P271" s="1"/>
      <x:c r="Q271" s="1"/>
    </x:row>
    <x:row r="272" ht="22" customHeight="1">
      <x:c r="A272" s="1" t="str">
        <x:v>O0267</x:v>
      </x:c>
      <x:c r="B272" s="1" t="str">
        <x:v>Simulated Bhubaneswar Arts and Science College 267</x:v>
      </x:c>
      <x:c r="C272" s="1" t="str">
        <x:v>East</x:v>
      </x:c>
      <x:c r="D272" s="1" t="str">
        <x:v>Prospect Identified</x:v>
      </x:c>
      <x:c r="E272" s="1" t="str">
        <x:v>Open</x:v>
      </x:c>
      <x:c r="F272" s="7" t="n">
        <x:v>158000</x:v>
      </x:c>
      <x:c r="G272" s="8" t="d">
        <x:v>2026-03-21T00:00:00.000Z</x:v>
      </x:c>
      <x:c r="H272" s="8" t="d">
        <x:v>2026-06-24T00:00:00.000Z</x:v>
      </x:c>
      <x:c r="I272" s="8"/>
      <x:c r="J272" s="7" t="n">
        <x:v>0</x:v>
      </x:c>
      <x:c r="K272" s="1" t="n">
        <x:v>31.26</x:v>
      </x:c>
      <x:c r="L272" s="1" t="n">
        <x:v>1</x:v>
      </x:c>
      <x:c r="M272" s="1" t="n">
        <x:v>193</x:v>
      </x:c>
      <x:c r="N272" s="1"/>
      <x:c r="O272" s="1"/>
      <x:c r="P272" s="1"/>
      <x:c r="Q272" s="1"/>
    </x:row>
    <x:row r="273" ht="22" customHeight="1">
      <x:c r="A273" s="1" t="str">
        <x:v>O0268</x:v>
      </x:c>
      <x:c r="B273" s="1" t="str">
        <x:v>Simulated Patna Management Institute 268</x:v>
      </x:c>
      <x:c r="C273" s="1" t="str">
        <x:v>East</x:v>
      </x:c>
      <x:c r="D273" s="1" t="str">
        <x:v>Prospect Identified</x:v>
      </x:c>
      <x:c r="E273" s="1" t="str">
        <x:v>Open</x:v>
      </x:c>
      <x:c r="F273" s="7" t="n">
        <x:v>289000</x:v>
      </x:c>
      <x:c r="G273" s="8" t="d">
        <x:v>2026-07-29T00:00:00.000Z</x:v>
      </x:c>
      <x:c r="H273" s="8" t="d">
        <x:v>2026-11-22T00:00:00.000Z</x:v>
      </x:c>
      <x:c r="I273" s="8"/>
      <x:c r="J273" s="7" t="n">
        <x:v>0</x:v>
      </x:c>
      <x:c r="K273" s="1" t="n">
        <x:v>45.33</x:v>
      </x:c>
      <x:c r="L273" s="1" t="n">
        <x:v>0</x:v>
      </x:c>
      <x:c r="M273" s="1" t="n">
        <x:v>63</x:v>
      </x:c>
      <x:c r="N273" s="1"/>
      <x:c r="O273" s="1"/>
      <x:c r="P273" s="1"/>
      <x:c r="Q273" s="1"/>
    </x:row>
    <x:row r="274" ht="22" customHeight="1">
      <x:c r="A274" s="1" t="str">
        <x:v>O0269</x:v>
      </x:c>
      <x:c r="B274" s="1" t="str">
        <x:v>Simulated Guwahati Arts and Science College 269</x:v>
      </x:c>
      <x:c r="C274" s="1" t="str">
        <x:v>Northeast</x:v>
      </x:c>
      <x:c r="D274" s="1" t="str">
        <x:v>Closed Lost</x:v>
      </x:c>
      <x:c r="E274" s="1" t="str">
        <x:v>Lost</x:v>
      </x:c>
      <x:c r="F274" s="7" t="n">
        <x:v>140000</x:v>
      </x:c>
      <x:c r="G274" s="8" t="d">
        <x:v>2026-05-30T00:00:00.000Z</x:v>
      </x:c>
      <x:c r="H274" s="8" t="d">
        <x:v>2026-09-27T00:00:00.000Z</x:v>
      </x:c>
      <x:c r="I274" s="8" t="d">
        <x:v>2026-06-10T00:00:00.000Z</x:v>
      </x:c>
      <x:c r="J274" s="7" t="n">
        <x:v>0</x:v>
      </x:c>
      <x:c r="K274" s="1" t="n">
        <x:v>0</x:v>
      </x:c>
      <x:c r="L274" s="1" t="n">
        <x:v>0</x:v>
      </x:c>
      <x:c r="M274" s="1" t="n">
        <x:v>112</x:v>
      </x:c>
      <x:c r="N274" s="1"/>
      <x:c r="O274" s="1"/>
      <x:c r="P274" s="1"/>
      <x:c r="Q274" s="1"/>
    </x:row>
    <x:row r="275" ht="22" customHeight="1">
      <x:c r="A275" s="1" t="str">
        <x:v>O0270</x:v>
      </x:c>
      <x:c r="B275" s="1" t="str">
        <x:v>Simulated Indore Management Institute 270</x:v>
      </x:c>
      <x:c r="C275" s="1" t="str">
        <x:v>Central</x:v>
      </x:c>
      <x:c r="D275" s="1" t="str">
        <x:v>Prospect Identified</x:v>
      </x:c>
      <x:c r="E275" s="1" t="str">
        <x:v>Open</x:v>
      </x:c>
      <x:c r="F275" s="7" t="n">
        <x:v>130000</x:v>
      </x:c>
      <x:c r="G275" s="8" t="d">
        <x:v>2026-06-04T00:00:00.000Z</x:v>
      </x:c>
      <x:c r="H275" s="8" t="d">
        <x:v>2026-10-20T00:00:00.000Z</x:v>
      </x:c>
      <x:c r="I275" s="8"/>
      <x:c r="J275" s="7" t="n">
        <x:v>0</x:v>
      </x:c>
      <x:c r="K275" s="1" t="n">
        <x:v>41</x:v>
      </x:c>
      <x:c r="L275" s="1" t="n">
        <x:v>1</x:v>
      </x:c>
      <x:c r="M275" s="1" t="n">
        <x:v>118</x:v>
      </x:c>
      <x:c r="N275" s="1"/>
      <x:c r="O275" s="1"/>
      <x:c r="P275" s="1"/>
      <x:c r="Q275" s="1"/>
    </x:row>
    <x:row r="276" ht="22" customHeight="1">
      <x:c r="A276" s="1" t="str">
        <x:v>O0271</x:v>
      </x:c>
      <x:c r="B276" s="1" t="str">
        <x:v>Simulated New Delhi University 271</x:v>
      </x:c>
      <x:c r="C276" s="1" t="str">
        <x:v>North</x:v>
      </x:c>
      <x:c r="D276" s="1" t="str">
        <x:v>Prospect Identified</x:v>
      </x:c>
      <x:c r="E276" s="1" t="str">
        <x:v>Open</x:v>
      </x:c>
      <x:c r="F276" s="7" t="n">
        <x:v>927000</x:v>
      </x:c>
      <x:c r="G276" s="8" t="d">
        <x:v>2026-01-13T00:00:00.000Z</x:v>
      </x:c>
      <x:c r="H276" s="8" t="d">
        <x:v>2026-06-07T00:00:00.000Z</x:v>
      </x:c>
      <x:c r="I276" s="8"/>
      <x:c r="J276" s="7" t="n">
        <x:v>0</x:v>
      </x:c>
      <x:c r="K276" s="1" t="n">
        <x:v>75.5</x:v>
      </x:c>
      <x:c r="L276" s="1" t="n">
        <x:v>0</x:v>
      </x:c>
      <x:c r="M276" s="1" t="n">
        <x:v>260</x:v>
      </x:c>
      <x:c r="N276" s="1"/>
      <x:c r="O276" s="1"/>
      <x:c r="P276" s="1"/>
      <x:c r="Q276" s="1"/>
    </x:row>
    <x:row r="277" ht="22" customHeight="1">
      <x:c r="A277" s="1" t="str">
        <x:v>O0272</x:v>
      </x:c>
      <x:c r="B277" s="1" t="str">
        <x:v>Simulated Noida Engineering College 272</x:v>
      </x:c>
      <x:c r="C277" s="1" t="str">
        <x:v>North</x:v>
      </x:c>
      <x:c r="D277" s="1" t="str">
        <x:v>Closed Lost</x:v>
      </x:c>
      <x:c r="E277" s="1" t="str">
        <x:v>Lost</x:v>
      </x:c>
      <x:c r="F277" s="7" t="n">
        <x:v>157000</x:v>
      </x:c>
      <x:c r="G277" s="8" t="d">
        <x:v>2026-07-21T00:00:00.000Z</x:v>
      </x:c>
      <x:c r="H277" s="8" t="d">
        <x:v>2026-10-24T00:00:00.000Z</x:v>
      </x:c>
      <x:c r="I277" s="8" t="d">
        <x:v>2026-08-19T00:00:00.000Z</x:v>
      </x:c>
      <x:c r="J277" s="7" t="n">
        <x:v>0</x:v>
      </x:c>
      <x:c r="K277" s="1" t="n">
        <x:v>0</x:v>
      </x:c>
      <x:c r="L277" s="1" t="n">
        <x:v>0</x:v>
      </x:c>
      <x:c r="M277" s="1" t="n">
        <x:v>42</x:v>
      </x:c>
      <x:c r="N277" s="1"/>
      <x:c r="O277" s="1"/>
      <x:c r="P277" s="1"/>
      <x:c r="Q277" s="1"/>
    </x:row>
    <x:row r="278" ht="22" customHeight="1">
      <x:c r="A278" s="1" t="str">
        <x:v>O0273</x:v>
      </x:c>
      <x:c r="B278" s="1" t="str">
        <x:v>Simulated Gurugram Arts and Science College 273</x:v>
      </x:c>
      <x:c r="C278" s="1" t="str">
        <x:v>North</x:v>
      </x:c>
      <x:c r="D278" s="1" t="str">
        <x:v>Closed Lost</x:v>
      </x:c>
      <x:c r="E278" s="1" t="str">
        <x:v>Lost</x:v>
      </x:c>
      <x:c r="F278" s="7" t="n">
        <x:v>109000</x:v>
      </x:c>
      <x:c r="G278" s="8" t="d">
        <x:v>2026-01-14T00:00:00.000Z</x:v>
      </x:c>
      <x:c r="H278" s="8" t="d">
        <x:v>2026-04-17T00:00:00.000Z</x:v>
      </x:c>
      <x:c r="I278" s="8" t="d">
        <x:v>2026-02-10T00:00:00.000Z</x:v>
      </x:c>
      <x:c r="J278" s="7" t="n">
        <x:v>0</x:v>
      </x:c>
      <x:c r="K278" s="1" t="n">
        <x:v>0</x:v>
      </x:c>
      <x:c r="L278" s="1" t="n">
        <x:v>0</x:v>
      </x:c>
      <x:c r="M278" s="1" t="n">
        <x:v>232</x:v>
      </x:c>
      <x:c r="N278" s="1"/>
      <x:c r="O278" s="1"/>
      <x:c r="P278" s="1"/>
      <x:c r="Q278" s="1"/>
    </x:row>
    <x:row r="279" ht="22" customHeight="1">
      <x:c r="A279" s="1" t="str">
        <x:v>O0274</x:v>
      </x:c>
      <x:c r="B279" s="1" t="str">
        <x:v>Simulated Ludhiana Management Institute 274</x:v>
      </x:c>
      <x:c r="C279" s="1" t="str">
        <x:v>North</x:v>
      </x:c>
      <x:c r="D279" s="1" t="str">
        <x:v>Closed Lost</x:v>
      </x:c>
      <x:c r="E279" s="1" t="str">
        <x:v>Lost</x:v>
      </x:c>
      <x:c r="F279" s="7" t="n">
        <x:v>229000</x:v>
      </x:c>
      <x:c r="G279" s="8" t="d">
        <x:v>2026-05-08T00:00:00.000Z</x:v>
      </x:c>
      <x:c r="H279" s="8" t="d">
        <x:v>2026-09-29T00:00:00.000Z</x:v>
      </x:c>
      <x:c r="I279" s="8" t="d">
        <x:v>2026-06-20T00:00:00.000Z</x:v>
      </x:c>
      <x:c r="J279" s="7" t="n">
        <x:v>0</x:v>
      </x:c>
      <x:c r="K279" s="1" t="n">
        <x:v>0</x:v>
      </x:c>
      <x:c r="L279" s="1" t="n">
        <x:v>0</x:v>
      </x:c>
      <x:c r="M279" s="1" t="n">
        <x:v>102</x:v>
      </x:c>
      <x:c r="N279" s="1"/>
      <x:c r="O279" s="1"/>
      <x:c r="P279" s="1"/>
      <x:c r="Q279" s="1"/>
    </x:row>
    <x:row r="280" ht="22" customHeight="1">
      <x:c r="A280" s="1" t="str">
        <x:v>O0275</x:v>
      </x:c>
      <x:c r="B280" s="1" t="str">
        <x:v>Simulated Pune Engineering College 275</x:v>
      </x:c>
      <x:c r="C280" s="1" t="str">
        <x:v>West</x:v>
      </x:c>
      <x:c r="D280" s="1" t="str">
        <x:v>Prospect Identified</x:v>
      </x:c>
      <x:c r="E280" s="1" t="str">
        <x:v>Open</x:v>
      </x:c>
      <x:c r="F280" s="7" t="n">
        <x:v>258000</x:v>
      </x:c>
      <x:c r="G280" s="8" t="d">
        <x:v>2025-11-26T00:00:00.000Z</x:v>
      </x:c>
      <x:c r="H280" s="8" t="d">
        <x:v>2026-03-13T00:00:00.000Z</x:v>
      </x:c>
      <x:c r="I280" s="8"/>
      <x:c r="J280" s="7" t="n">
        <x:v>0</x:v>
      </x:c>
      <x:c r="K280" s="1" t="n">
        <x:v>40</x:v>
      </x:c>
      <x:c r="L280" s="1" t="n">
        <x:v>0</x:v>
      </x:c>
      <x:c r="M280" s="1" t="n">
        <x:v>308</x:v>
      </x:c>
      <x:c r="N280" s="1"/>
      <x:c r="O280" s="1"/>
      <x:c r="P280" s="1"/>
      <x:c r="Q280" s="1"/>
    </x:row>
    <x:row r="281" ht="22" customHeight="1">
      <x:c r="A281" s="1" t="str">
        <x:v>O0276</x:v>
      </x:c>
      <x:c r="B281" s="1" t="str">
        <x:v>Simulated Ahmedabad Management Institute 276</x:v>
      </x:c>
      <x:c r="C281" s="1" t="str">
        <x:v>West</x:v>
      </x:c>
      <x:c r="D281" s="1" t="str">
        <x:v>Closed Won</x:v>
      </x:c>
      <x:c r="E281" s="1" t="str">
        <x:v>Won</x:v>
      </x:c>
      <x:c r="F281" s="7" t="n">
        <x:v>276000</x:v>
      </x:c>
      <x:c r="G281" s="8" t="d">
        <x:v>2025-11-06T00:00:00.000Z</x:v>
      </x:c>
      <x:c r="H281" s="8" t="d">
        <x:v>2026-03-15T00:00:00.000Z</x:v>
      </x:c>
      <x:c r="I281" s="8" t="d">
        <x:v>2026-03-18T00:00:00.000Z</x:v>
      </x:c>
      <x:c r="J281" s="7" t="n">
        <x:v>148964.38</x:v>
      </x:c>
      <x:c r="K281" s="1" t="n">
        <x:v>0</x:v>
      </x:c>
      <x:c r="L281" s="1" t="n">
        <x:v>0</x:v>
      </x:c>
      <x:c r="M281" s="1" t="n">
        <x:v>196</x:v>
      </x:c>
      <x:c r="N281" s="1"/>
      <x:c r="O281" s="1"/>
      <x:c r="P281" s="1"/>
      <x:c r="Q281" s="1"/>
    </x:row>
    <x:row r="282" ht="22" customHeight="1">
      <x:c r="A282" s="1" t="str">
        <x:v>O0277</x:v>
      </x:c>
      <x:c r="B282" s="1" t="str">
        <x:v>Simulated Jaipur University 277</x:v>
      </x:c>
      <x:c r="C282" s="1" t="str">
        <x:v>West</x:v>
      </x:c>
      <x:c r="D282" s="1" t="str">
        <x:v>Proposal Sent</x:v>
      </x:c>
      <x:c r="E282" s="1" t="str">
        <x:v>Open</x:v>
      </x:c>
      <x:c r="F282" s="7" t="n">
        <x:v>630000</x:v>
      </x:c>
      <x:c r="G282" s="8" t="d">
        <x:v>2026-06-18T00:00:00.000Z</x:v>
      </x:c>
      <x:c r="H282" s="8" t="d">
        <x:v>2026-09-22T00:00:00.000Z</x:v>
      </x:c>
      <x:c r="I282" s="8"/>
      <x:c r="J282" s="7" t="n">
        <x:v>0</x:v>
      </x:c>
      <x:c r="K282" s="1" t="n">
        <x:v>64.87</x:v>
      </x:c>
      <x:c r="L282" s="1" t="n">
        <x:v>1</x:v>
      </x:c>
      <x:c r="M282" s="1" t="n">
        <x:v>15</x:v>
      </x:c>
      <x:c r="N282" s="1"/>
      <x:c r="O282" s="1"/>
      <x:c r="P282" s="1"/>
      <x:c r="Q282" s="1"/>
    </x:row>
    <x:row r="283" ht="22" customHeight="1">
      <x:c r="A283" s="1" t="str">
        <x:v>O0278</x:v>
      </x:c>
      <x:c r="B283" s="1" t="str">
        <x:v>Simulated Bengaluru Engineering College 278</x:v>
      </x:c>
      <x:c r="C283" s="1" t="str">
        <x:v>South</x:v>
      </x:c>
      <x:c r="D283" s="1" t="str">
        <x:v>Initial Contact</x:v>
      </x:c>
      <x:c r="E283" s="1" t="str">
        <x:v>Open</x:v>
      </x:c>
      <x:c r="F283" s="7" t="n">
        <x:v>238000</x:v>
      </x:c>
      <x:c r="G283" s="8" t="d">
        <x:v>2025-10-15T00:00:00.000Z</x:v>
      </x:c>
      <x:c r="H283" s="8" t="d">
        <x:v>2026-03-01T00:00:00.000Z</x:v>
      </x:c>
      <x:c r="I283" s="8"/>
      <x:c r="J283" s="7" t="n">
        <x:v>0</x:v>
      </x:c>
      <x:c r="K283" s="1" t="n">
        <x:v>34.03</x:v>
      </x:c>
      <x:c r="L283" s="1" t="n">
        <x:v>1</x:v>
      </x:c>
      <x:c r="M283" s="1" t="n">
        <x:v>318</x:v>
      </x:c>
      <x:c r="N283" s="1"/>
      <x:c r="O283" s="1"/>
      <x:c r="P283" s="1"/>
      <x:c r="Q283" s="1"/>
    </x:row>
    <x:row r="284" ht="22" customHeight="1">
      <x:c r="A284" s="1" t="str">
        <x:v>O0279</x:v>
      </x:c>
      <x:c r="B284" s="1" t="str">
        <x:v>Simulated Chennai University 279</x:v>
      </x:c>
      <x:c r="C284" s="1" t="str">
        <x:v>South</x:v>
      </x:c>
      <x:c r="D284" s="1" t="str">
        <x:v>Proposal Sent</x:v>
      </x:c>
      <x:c r="E284" s="1" t="str">
        <x:v>Open</x:v>
      </x:c>
      <x:c r="F284" s="7" t="n">
        <x:v>329000</x:v>
      </x:c>
      <x:c r="G284" s="8" t="d">
        <x:v>2026-06-20T00:00:00.000Z</x:v>
      </x:c>
      <x:c r="H284" s="8" t="d">
        <x:v>2026-10-28T00:00:00.000Z</x:v>
      </x:c>
      <x:c r="I284" s="8"/>
      <x:c r="J284" s="7" t="n">
        <x:v>0</x:v>
      </x:c>
      <x:c r="K284" s="1" t="n">
        <x:v>64.82</x:v>
      </x:c>
      <x:c r="L284" s="1" t="n">
        <x:v>1</x:v>
      </x:c>
      <x:c r="M284" s="1" t="n">
        <x:v>14</x:v>
      </x:c>
      <x:c r="N284" s="1"/>
      <x:c r="O284" s="1"/>
      <x:c r="P284" s="1"/>
      <x:c r="Q284" s="1"/>
    </x:row>
    <x:row r="285" ht="22" customHeight="1">
      <x:c r="A285" s="1" t="str">
        <x:v>O0280</x:v>
      </x:c>
      <x:c r="B285" s="1" t="str">
        <x:v>Simulated Hyderabad University 280</x:v>
      </x:c>
      <x:c r="C285" s="1" t="str">
        <x:v>South</x:v>
      </x:c>
      <x:c r="D285" s="1" t="str">
        <x:v>Closed Lost</x:v>
      </x:c>
      <x:c r="E285" s="1" t="str">
        <x:v>Lost</x:v>
      </x:c>
      <x:c r="F285" s="7" t="n">
        <x:v>1070000</x:v>
      </x:c>
      <x:c r="G285" s="8" t="d">
        <x:v>2025-11-01T00:00:00.000Z</x:v>
      </x:c>
      <x:c r="H285" s="8" t="d">
        <x:v>2026-02-02T00:00:00.000Z</x:v>
      </x:c>
      <x:c r="I285" s="8" t="d">
        <x:v>2025-11-20T00:00:00.000Z</x:v>
      </x:c>
      <x:c r="J285" s="7" t="n">
        <x:v>0</x:v>
      </x:c>
      <x:c r="K285" s="1" t="n">
        <x:v>0</x:v>
      </x:c>
      <x:c r="L285" s="1" t="n">
        <x:v>0</x:v>
      </x:c>
      <x:c r="M285" s="1" t="n">
        <x:v>314</x:v>
      </x:c>
      <x:c r="N285" s="1"/>
      <x:c r="O285" s="1"/>
      <x:c r="P285" s="1"/>
      <x:c r="Q285" s="1"/>
    </x:row>
    <x:row r="286" ht="22" customHeight="1">
      <x:c r="A286" s="1" t="str">
        <x:v>O0281</x:v>
      </x:c>
      <x:c r="B286" s="1" t="str">
        <x:v>Simulated Kolkata Management Institute 281</x:v>
      </x:c>
      <x:c r="C286" s="1" t="str">
        <x:v>East</x:v>
      </x:c>
      <x:c r="D286" s="1" t="str">
        <x:v>Closed Won</x:v>
      </x:c>
      <x:c r="E286" s="1" t="str">
        <x:v>Won</x:v>
      </x:c>
      <x:c r="F286" s="7" t="n">
        <x:v>93000</x:v>
      </x:c>
      <x:c r="G286" s="8" t="d">
        <x:v>2025-12-26T00:00:00.000Z</x:v>
      </x:c>
      <x:c r="H286" s="8" t="d">
        <x:v>2026-05-08T00:00:00.000Z</x:v>
      </x:c>
      <x:c r="I286" s="8" t="d">
        <x:v>2026-05-20T00:00:00.000Z</x:v>
      </x:c>
      <x:c r="J286" s="7" t="n">
        <x:v>34142.47</x:v>
      </x:c>
      <x:c r="K286" s="1" t="n">
        <x:v>0</x:v>
      </x:c>
      <x:c r="L286" s="1" t="n">
        <x:v>0</x:v>
      </x:c>
      <x:c r="M286" s="1" t="n">
        <x:v>133</x:v>
      </x:c>
      <x:c r="N286" s="1"/>
      <x:c r="O286" s="1"/>
      <x:c r="P286" s="1"/>
      <x:c r="Q286" s="1"/>
    </x:row>
    <x:row r="287" ht="22" customHeight="1">
      <x:c r="A287" s="1" t="str">
        <x:v>O0282</x:v>
      </x:c>
      <x:c r="B287" s="1" t="str">
        <x:v>Simulated Bhubaneswar Engineering College 282</x:v>
      </x:c>
      <x:c r="C287" s="1" t="str">
        <x:v>East</x:v>
      </x:c>
      <x:c r="D287" s="1" t="str">
        <x:v>Prospect Identified</x:v>
      </x:c>
      <x:c r="E287" s="1" t="str">
        <x:v>Open</x:v>
      </x:c>
      <x:c r="F287" s="7" t="n">
        <x:v>191000</x:v>
      </x:c>
      <x:c r="G287" s="8" t="d">
        <x:v>2026-09-12T00:00:00.000Z</x:v>
      </x:c>
      <x:c r="H287" s="8" t="d">
        <x:v>2027-02-05T00:00:00.000Z</x:v>
      </x:c>
      <x:c r="I287" s="8"/>
      <x:c r="J287" s="7" t="n">
        <x:v>0</x:v>
      </x:c>
      <x:c r="K287" s="1" t="n">
        <x:v>41.32</x:v>
      </x:c>
      <x:c r="L287" s="1" t="n">
        <x:v>0</x:v>
      </x:c>
      <x:c r="M287" s="1" t="n">
        <x:v>18</x:v>
      </x:c>
      <x:c r="N287" s="1"/>
      <x:c r="O287" s="1"/>
      <x:c r="P287" s="1"/>
      <x:c r="Q287" s="1"/>
    </x:row>
    <x:row r="288" ht="22" customHeight="1">
      <x:c r="A288" s="1" t="str">
        <x:v>O0283</x:v>
      </x:c>
      <x:c r="B288" s="1" t="str">
        <x:v>Simulated Patna Management Institute 283</x:v>
      </x:c>
      <x:c r="C288" s="1" t="str">
        <x:v>East</x:v>
      </x:c>
      <x:c r="D288" s="1" t="str">
        <x:v>Prospect Identified</x:v>
      </x:c>
      <x:c r="E288" s="1" t="str">
        <x:v>Open</x:v>
      </x:c>
      <x:c r="F288" s="7" t="n">
        <x:v>169000</x:v>
      </x:c>
      <x:c r="G288" s="8" t="d">
        <x:v>2026-09-25T00:00:00.000Z</x:v>
      </x:c>
      <x:c r="H288" s="8" t="d">
        <x:v>2027-01-19T00:00:00.000Z</x:v>
      </x:c>
      <x:c r="I288" s="8"/>
      <x:c r="J288" s="7" t="n">
        <x:v>0</x:v>
      </x:c>
      <x:c r="K288" s="1" t="n">
        <x:v>43.37</x:v>
      </x:c>
      <x:c r="L288" s="1" t="n">
        <x:v>0</x:v>
      </x:c>
      <x:c r="M288" s="1" t="n">
        <x:v>5</x:v>
      </x:c>
      <x:c r="N288" s="1"/>
      <x:c r="O288" s="1"/>
      <x:c r="P288" s="1"/>
      <x:c r="Q288" s="1"/>
    </x:row>
    <x:row r="289" ht="22" customHeight="1">
      <x:c r="A289" s="1" t="str">
        <x:v>O0284</x:v>
      </x:c>
      <x:c r="B289" s="1" t="str">
        <x:v>Simulated Guwahati Arts and Science College 284</x:v>
      </x:c>
      <x:c r="C289" s="1" t="str">
        <x:v>Northeast</x:v>
      </x:c>
      <x:c r="D289" s="1" t="str">
        <x:v>Prospect Identified</x:v>
      </x:c>
      <x:c r="E289" s="1" t="str">
        <x:v>Open</x:v>
      </x:c>
      <x:c r="F289" s="7" t="n">
        <x:v>106000</x:v>
      </x:c>
      <x:c r="G289" s="8" t="d">
        <x:v>2026-08-16T00:00:00.000Z</x:v>
      </x:c>
      <x:c r="H289" s="8" t="d">
        <x:v>2026-11-18T00:00:00.000Z</x:v>
      </x:c>
      <x:c r="I289" s="8"/>
      <x:c r="J289" s="7" t="n">
        <x:v>0</x:v>
      </x:c>
      <x:c r="K289" s="1" t="n">
        <x:v>30.57</x:v>
      </x:c>
      <x:c r="L289" s="1" t="n">
        <x:v>0</x:v>
      </x:c>
      <x:c r="M289" s="1" t="n">
        <x:v>45</x:v>
      </x:c>
      <x:c r="N289" s="1"/>
      <x:c r="O289" s="1"/>
      <x:c r="P289" s="1"/>
      <x:c r="Q289" s="1"/>
    </x:row>
    <x:row r="290" ht="22" customHeight="1">
      <x:c r="A290" s="1" t="str">
        <x:v>O0285</x:v>
      </x:c>
      <x:c r="B290" s="1" t="str">
        <x:v>Simulated Indore Management Institute 285</x:v>
      </x:c>
      <x:c r="C290" s="1" t="str">
        <x:v>Central</x:v>
      </x:c>
      <x:c r="D290" s="1" t="str">
        <x:v>Closed Won</x:v>
      </x:c>
      <x:c r="E290" s="1" t="str">
        <x:v>Won</x:v>
      </x:c>
      <x:c r="F290" s="7" t="n">
        <x:v>145000</x:v>
      </x:c>
      <x:c r="G290" s="8" t="d">
        <x:v>2026-06-06T00:00:00.000Z</x:v>
      </x:c>
      <x:c r="H290" s="8" t="d">
        <x:v>2026-10-28T00:00:00.000Z</x:v>
      </x:c>
      <x:c r="I290" s="8" t="d">
        <x:v>2026-09-15T00:00:00.000Z</x:v>
      </x:c>
      <x:c r="J290" s="7" t="n">
        <x:v>6356.16</x:v>
      </x:c>
      <x:c r="K290" s="1" t="n">
        <x:v>0</x:v>
      </x:c>
      <x:c r="L290" s="1" t="n">
        <x:v>0</x:v>
      </x:c>
      <x:c r="M290" s="1" t="n">
        <x:v>15</x:v>
      </x:c>
      <x:c r="N290" s="1"/>
      <x:c r="O290" s="1"/>
      <x:c r="P290" s="1"/>
      <x:c r="Q290" s="1"/>
    </x:row>
    <x:row r="291" ht="22" customHeight="1">
      <x:c r="A291" s="1" t="str">
        <x:v>O0286</x:v>
      </x:c>
      <x:c r="B291" s="1" t="str">
        <x:v>Simulated New Delhi Arts and Science College 286</x:v>
      </x:c>
      <x:c r="C291" s="1" t="str">
        <x:v>North</x:v>
      </x:c>
      <x:c r="D291" s="1" t="str">
        <x:v>Closed Lost</x:v>
      </x:c>
      <x:c r="E291" s="1" t="str">
        <x:v>Lost</x:v>
      </x:c>
      <x:c r="F291" s="7" t="n">
        <x:v>184000</x:v>
      </x:c>
      <x:c r="G291" s="8" t="d">
        <x:v>2026-08-02T00:00:00.000Z</x:v>
      </x:c>
      <x:c r="H291" s="8" t="d">
        <x:v>2026-11-06T00:00:00.000Z</x:v>
      </x:c>
      <x:c r="I291" s="8" t="d">
        <x:v>2026-08-27T00:00:00.000Z</x:v>
      </x:c>
      <x:c r="J291" s="7" t="n">
        <x:v>0</x:v>
      </x:c>
      <x:c r="K291" s="1" t="n">
        <x:v>0</x:v>
      </x:c>
      <x:c r="L291" s="1" t="n">
        <x:v>0</x:v>
      </x:c>
      <x:c r="M291" s="1" t="n">
        <x:v>34</x:v>
      </x:c>
      <x:c r="N291" s="1"/>
      <x:c r="O291" s="1"/>
      <x:c r="P291" s="1"/>
      <x:c r="Q291" s="1"/>
    </x:row>
    <x:row r="292" ht="22" customHeight="1">
      <x:c r="A292" s="1" t="str">
        <x:v>O0287</x:v>
      </x:c>
      <x:c r="B292" s="1" t="str">
        <x:v>Simulated Noida Engineering College 287</x:v>
      </x:c>
      <x:c r="C292" s="1" t="str">
        <x:v>North</x:v>
      </x:c>
      <x:c r="D292" s="1" t="str">
        <x:v>Qualified</x:v>
      </x:c>
      <x:c r="E292" s="1" t="str">
        <x:v>Open</x:v>
      </x:c>
      <x:c r="F292" s="7" t="n">
        <x:v>197000</x:v>
      </x:c>
      <x:c r="G292" s="8" t="d">
        <x:v>2025-11-25T00:00:00.000Z</x:v>
      </x:c>
      <x:c r="H292" s="8" t="d">
        <x:v>2026-03-03T00:00:00.000Z</x:v>
      </x:c>
      <x:c r="I292" s="8"/>
      <x:c r="J292" s="7" t="n">
        <x:v>0</x:v>
      </x:c>
      <x:c r="K292" s="1" t="n">
        <x:v>48.64</x:v>
      </x:c>
      <x:c r="L292" s="1" t="n">
        <x:v>1</x:v>
      </x:c>
      <x:c r="M292" s="1" t="n">
        <x:v>279</x:v>
      </x:c>
      <x:c r="N292" s="1"/>
      <x:c r="O292" s="1"/>
      <x:c r="P292" s="1"/>
      <x:c r="Q292" s="1"/>
    </x:row>
    <x:row r="293" ht="22" customHeight="1">
      <x:c r="A293" s="1" t="str">
        <x:v>O0288</x:v>
      </x:c>
      <x:c r="B293" s="1" t="str">
        <x:v>Simulated Gurugram Engineering College 288</x:v>
      </x:c>
      <x:c r="C293" s="1" t="str">
        <x:v>North</x:v>
      </x:c>
      <x:c r="D293" s="1" t="str">
        <x:v>Prospect Identified</x:v>
      </x:c>
      <x:c r="E293" s="1" t="str">
        <x:v>Open</x:v>
      </x:c>
      <x:c r="F293" s="7" t="n">
        <x:v>266000</x:v>
      </x:c>
      <x:c r="G293" s="8" t="d">
        <x:v>2025-10-02T00:00:00.000Z</x:v>
      </x:c>
      <x:c r="H293" s="8" t="d">
        <x:v>2026-01-18T00:00:00.000Z</x:v>
      </x:c>
      <x:c r="I293" s="8"/>
      <x:c r="J293" s="7" t="n">
        <x:v>0</x:v>
      </x:c>
      <x:c r="K293" s="1" t="n">
        <x:v>48.7</x:v>
      </x:c>
      <x:c r="L293" s="1" t="n">
        <x:v>1</x:v>
      </x:c>
      <x:c r="M293" s="1" t="n">
        <x:v>363</x:v>
      </x:c>
      <x:c r="N293" s="1"/>
      <x:c r="O293" s="1"/>
      <x:c r="P293" s="1"/>
      <x:c r="Q293" s="1"/>
    </x:row>
    <x:row r="294" ht="22" customHeight="1">
      <x:c r="A294" s="1" t="str">
        <x:v>O0289</x:v>
      </x:c>
      <x:c r="B294" s="1" t="str">
        <x:v>Simulated Ludhiana University 289</x:v>
      </x:c>
      <x:c r="C294" s="1" t="str">
        <x:v>North</x:v>
      </x:c>
      <x:c r="D294" s="1" t="str">
        <x:v>Closed Lost</x:v>
      </x:c>
      <x:c r="E294" s="1" t="str">
        <x:v>Lost</x:v>
      </x:c>
      <x:c r="F294" s="7" t="n">
        <x:v>804000</x:v>
      </x:c>
      <x:c r="G294" s="8" t="d">
        <x:v>2026-04-14T00:00:00.000Z</x:v>
      </x:c>
      <x:c r="H294" s="8" t="d">
        <x:v>2026-07-18T00:00:00.000Z</x:v>
      </x:c>
      <x:c r="I294" s="8" t="d">
        <x:v>2026-05-14T00:00:00.000Z</x:v>
      </x:c>
      <x:c r="J294" s="7" t="n">
        <x:v>0</x:v>
      </x:c>
      <x:c r="K294" s="1" t="n">
        <x:v>0</x:v>
      </x:c>
      <x:c r="L294" s="1" t="n">
        <x:v>0</x:v>
      </x:c>
      <x:c r="M294" s="1" t="n">
        <x:v>139</x:v>
      </x:c>
      <x:c r="N294" s="1"/>
      <x:c r="O294" s="1"/>
      <x:c r="P294" s="1"/>
      <x:c r="Q294" s="1"/>
    </x:row>
    <x:row r="295" ht="22" customHeight="1">
      <x:c r="A295" s="1" t="str">
        <x:v>O0290</x:v>
      </x:c>
      <x:c r="B295" s="1" t="str">
        <x:v>Simulated Pune Engineering College 290</x:v>
      </x:c>
      <x:c r="C295" s="1" t="str">
        <x:v>West</x:v>
      </x:c>
      <x:c r="D295" s="1" t="str">
        <x:v>Closed Won</x:v>
      </x:c>
      <x:c r="E295" s="1" t="str">
        <x:v>Won</x:v>
      </x:c>
      <x:c r="F295" s="7" t="n">
        <x:v>299000</x:v>
      </x:c>
      <x:c r="G295" s="8" t="d">
        <x:v>2026-04-05T00:00:00.000Z</x:v>
      </x:c>
      <x:c r="H295" s="8" t="d">
        <x:v>2026-08-31T00:00:00.000Z</x:v>
      </x:c>
      <x:c r="I295" s="8" t="d">
        <x:v>2026-08-30T00:00:00.000Z</x:v>
      </x:c>
      <x:c r="J295" s="7" t="n">
        <x:v>26213.7</x:v>
      </x:c>
      <x:c r="K295" s="1" t="n">
        <x:v>0</x:v>
      </x:c>
      <x:c r="L295" s="1" t="n">
        <x:v>0</x:v>
      </x:c>
      <x:c r="M295" s="1" t="n">
        <x:v>31</x:v>
      </x:c>
      <x:c r="N295" s="1"/>
      <x:c r="O295" s="1"/>
      <x:c r="P295" s="1"/>
      <x:c r="Q295" s="1"/>
    </x:row>
    <x:row r="296" ht="22" customHeight="1">
      <x:c r="A296" s="1" t="str">
        <x:v>O0291</x:v>
      </x:c>
      <x:c r="B296" s="1" t="str">
        <x:v>Simulated Ahmedabad Engineering College 291</x:v>
      </x:c>
      <x:c r="C296" s="1" t="str">
        <x:v>West</x:v>
      </x:c>
      <x:c r="D296" s="1" t="str">
        <x:v>Qualified</x:v>
      </x:c>
      <x:c r="E296" s="1" t="str">
        <x:v>Open</x:v>
      </x:c>
      <x:c r="F296" s="7" t="n">
        <x:v>205000</x:v>
      </x:c>
      <x:c r="G296" s="8" t="d">
        <x:v>2026-07-11T00:00:00.000Z</x:v>
      </x:c>
      <x:c r="H296" s="8" t="d">
        <x:v>2026-10-12T00:00:00.000Z</x:v>
      </x:c>
      <x:c r="I296" s="8"/>
      <x:c r="J296" s="7" t="n">
        <x:v>0</x:v>
      </x:c>
      <x:c r="K296" s="1" t="n">
        <x:v>54.8</x:v>
      </x:c>
      <x:c r="L296" s="1" t="n">
        <x:v>1</x:v>
      </x:c>
      <x:c r="M296" s="1" t="n">
        <x:v>59</x:v>
      </x:c>
      <x:c r="N296" s="1"/>
      <x:c r="O296" s="1"/>
      <x:c r="P296" s="1"/>
      <x:c r="Q296" s="1"/>
    </x:row>
    <x:row r="297" ht="22" customHeight="1">
      <x:c r="A297" s="1" t="str">
        <x:v>O0292</x:v>
      </x:c>
      <x:c r="B297" s="1" t="str">
        <x:v>Simulated Jaipur Engineering College 292</x:v>
      </x:c>
      <x:c r="C297" s="1" t="str">
        <x:v>West</x:v>
      </x:c>
      <x:c r="D297" s="1" t="str">
        <x:v>Closed Lost</x:v>
      </x:c>
      <x:c r="E297" s="1" t="str">
        <x:v>Lost</x:v>
      </x:c>
      <x:c r="F297" s="7" t="n">
        <x:v>92000</x:v>
      </x:c>
      <x:c r="G297" s="8" t="d">
        <x:v>2026-09-09T00:00:00.000Z</x:v>
      </x:c>
      <x:c r="H297" s="8" t="d">
        <x:v>2026-11-28T00:00:00.000Z</x:v>
      </x:c>
      <x:c r="I297" s="8" t="d">
        <x:v>2026-09-30T00:00:00.000Z</x:v>
      </x:c>
      <x:c r="J297" s="7" t="n">
        <x:v>0</x:v>
      </x:c>
      <x:c r="K297" s="1" t="n">
        <x:v>0</x:v>
      </x:c>
      <x:c r="L297" s="1" t="n">
        <x:v>0</x:v>
      </x:c>
      <x:c r="M297" s="1" t="n">
        <x:v>0</x:v>
      </x:c>
      <x:c r="N297" s="1"/>
      <x:c r="O297" s="1"/>
      <x:c r="P297" s="1"/>
      <x:c r="Q297" s="1"/>
    </x:row>
    <x:row r="298" ht="22" customHeight="1">
      <x:c r="A298" s="1" t="str">
        <x:v>O0293</x:v>
      </x:c>
      <x:c r="B298" s="1" t="str">
        <x:v>Simulated Bengaluru University 293</x:v>
      </x:c>
      <x:c r="C298" s="1" t="str">
        <x:v>South</x:v>
      </x:c>
      <x:c r="D298" s="1" t="str">
        <x:v>Prospect Identified</x:v>
      </x:c>
      <x:c r="E298" s="1" t="str">
        <x:v>Open</x:v>
      </x:c>
      <x:c r="F298" s="7" t="n">
        <x:v>416000</x:v>
      </x:c>
      <x:c r="G298" s="8" t="d">
        <x:v>2026-07-19T00:00:00.000Z</x:v>
      </x:c>
      <x:c r="H298" s="8" t="d">
        <x:v>2026-12-09T00:00:00.000Z</x:v>
      </x:c>
      <x:c r="I298" s="8"/>
      <x:c r="J298" s="7" t="n">
        <x:v>0</x:v>
      </x:c>
      <x:c r="K298" s="1" t="n">
        <x:v>63.64</x:v>
      </x:c>
      <x:c r="L298" s="1" t="n">
        <x:v>1</x:v>
      </x:c>
      <x:c r="M298" s="1" t="n">
        <x:v>73</x:v>
      </x:c>
      <x:c r="N298" s="1"/>
      <x:c r="O298" s="1"/>
      <x:c r="P298" s="1"/>
      <x:c r="Q298" s="1"/>
    </x:row>
    <x:row r="299" ht="22" customHeight="1">
      <x:c r="A299" s="1" t="str">
        <x:v>O0294</x:v>
      </x:c>
      <x:c r="B299" s="1" t="str">
        <x:v>Simulated Chennai University 294</x:v>
      </x:c>
      <x:c r="C299" s="1" t="str">
        <x:v>South</x:v>
      </x:c>
      <x:c r="D299" s="1" t="str">
        <x:v>Qualified</x:v>
      </x:c>
      <x:c r="E299" s="1" t="str">
        <x:v>Open</x:v>
      </x:c>
      <x:c r="F299" s="7" t="n">
        <x:v>1154000</x:v>
      </x:c>
      <x:c r="G299" s="8" t="d">
        <x:v>2026-01-18T00:00:00.000Z</x:v>
      </x:c>
      <x:c r="H299" s="8" t="d">
        <x:v>2026-05-06T00:00:00.000Z</x:v>
      </x:c>
      <x:c r="I299" s="8"/>
      <x:c r="J299" s="7" t="n">
        <x:v>0</x:v>
      </x:c>
      <x:c r="K299" s="1" t="n">
        <x:v>70.97</x:v>
      </x:c>
      <x:c r="L299" s="1" t="n">
        <x:v>1</x:v>
      </x:c>
      <x:c r="M299" s="1" t="n">
        <x:v>237</x:v>
      </x:c>
      <x:c r="N299" s="1"/>
      <x:c r="O299" s="1"/>
      <x:c r="P299" s="1"/>
      <x:c r="Q299" s="1"/>
    </x:row>
    <x:row r="300" ht="22" customHeight="1">
      <x:c r="A300" s="1" t="str">
        <x:v>O0295</x:v>
      </x:c>
      <x:c r="B300" s="1" t="str">
        <x:v>Simulated Hyderabad Arts and Science College 295</x:v>
      </x:c>
      <x:c r="C300" s="1" t="str">
        <x:v>South</x:v>
      </x:c>
      <x:c r="D300" s="1" t="str">
        <x:v>Initial Contact</x:v>
      </x:c>
      <x:c r="E300" s="1" t="str">
        <x:v>Open</x:v>
      </x:c>
      <x:c r="F300" s="7" t="n">
        <x:v>280000</x:v>
      </x:c>
      <x:c r="G300" s="8" t="d">
        <x:v>2026-08-12T00:00:00.000Z</x:v>
      </x:c>
      <x:c r="H300" s="8" t="d">
        <x:v>2026-12-15T00:00:00.000Z</x:v>
      </x:c>
      <x:c r="I300" s="8"/>
      <x:c r="J300" s="7" t="n">
        <x:v>0</x:v>
      </x:c>
      <x:c r="K300" s="1" t="n">
        <x:v>34.91</x:v>
      </x:c>
      <x:c r="L300" s="1" t="n">
        <x:v>1</x:v>
      </x:c>
      <x:c r="M300" s="1" t="n">
        <x:v>9</x:v>
      </x:c>
      <x:c r="N300" s="1"/>
      <x:c r="O300" s="1"/>
      <x:c r="P300" s="1"/>
      <x:c r="Q300" s="1"/>
    </x:row>
    <x:row r="301" ht="22" customHeight="1">
      <x:c r="A301" s="1" t="str">
        <x:v>O0296</x:v>
      </x:c>
      <x:c r="B301" s="1" t="str">
        <x:v>Simulated Kolkata Engineering College 296</x:v>
      </x:c>
      <x:c r="C301" s="1" t="str">
        <x:v>East</x:v>
      </x:c>
      <x:c r="D301" s="1" t="str">
        <x:v>Meeting Scheduled</x:v>
      </x:c>
      <x:c r="E301" s="1" t="str">
        <x:v>Open</x:v>
      </x:c>
      <x:c r="F301" s="7" t="n">
        <x:v>281000</x:v>
      </x:c>
      <x:c r="G301" s="8" t="d">
        <x:v>2026-07-14T00:00:00.000Z</x:v>
      </x:c>
      <x:c r="H301" s="8" t="d">
        <x:v>2026-10-02T00:00:00.000Z</x:v>
      </x:c>
      <x:c r="I301" s="8"/>
      <x:c r="J301" s="7" t="n">
        <x:v>0</x:v>
      </x:c>
      <x:c r="K301" s="1" t="n">
        <x:v>35.46</x:v>
      </x:c>
      <x:c r="L301" s="1" t="n">
        <x:v>1</x:v>
      </x:c>
      <x:c r="M301" s="1" t="n">
        <x:v>45</x:v>
      </x:c>
      <x:c r="N301" s="1"/>
      <x:c r="O301" s="1"/>
      <x:c r="P301" s="1"/>
      <x:c r="Q301" s="1"/>
    </x:row>
    <x:row r="302" ht="22" customHeight="1">
      <x:c r="A302" s="1" t="str">
        <x:v>O0297</x:v>
      </x:c>
      <x:c r="B302" s="1" t="str">
        <x:v>Simulated Bhubaneswar Management Institute 297</x:v>
      </x:c>
      <x:c r="C302" s="1" t="str">
        <x:v>East</x:v>
      </x:c>
      <x:c r="D302" s="1" t="str">
        <x:v>Meeting Scheduled</x:v>
      </x:c>
      <x:c r="E302" s="1" t="str">
        <x:v>Open</x:v>
      </x:c>
      <x:c r="F302" s="7" t="n">
        <x:v>92000</x:v>
      </x:c>
      <x:c r="G302" s="8" t="d">
        <x:v>2025-10-09T00:00:00.000Z</x:v>
      </x:c>
      <x:c r="H302" s="8" t="d">
        <x:v>2026-02-13T00:00:00.000Z</x:v>
      </x:c>
      <x:c r="I302" s="8"/>
      <x:c r="J302" s="7" t="n">
        <x:v>0</x:v>
      </x:c>
      <x:c r="K302" s="1" t="n">
        <x:v>44.68</x:v>
      </x:c>
      <x:c r="L302" s="1" t="n">
        <x:v>1</x:v>
      </x:c>
      <x:c r="M302" s="1" t="n">
        <x:v>307</x:v>
      </x:c>
      <x:c r="N302" s="1"/>
      <x:c r="O302" s="1"/>
      <x:c r="P302" s="1"/>
      <x:c r="Q302" s="1"/>
    </x:row>
    <x:row r="303" ht="22" customHeight="1">
      <x:c r="A303" s="1" t="str">
        <x:v>O0298</x:v>
      </x:c>
      <x:c r="B303" s="1" t="str">
        <x:v>Simulated Patna Arts and Science College 298</x:v>
      </x:c>
      <x:c r="C303" s="1" t="str">
        <x:v>East</x:v>
      </x:c>
      <x:c r="D303" s="1" t="str">
        <x:v>Closed Lost</x:v>
      </x:c>
      <x:c r="E303" s="1" t="str">
        <x:v>Lost</x:v>
      </x:c>
      <x:c r="F303" s="7" t="n">
        <x:v>223000</x:v>
      </x:c>
      <x:c r="G303" s="8" t="d">
        <x:v>2026-04-01T00:00:00.000Z</x:v>
      </x:c>
      <x:c r="H303" s="8" t="d">
        <x:v>2026-06-27T00:00:00.000Z</x:v>
      </x:c>
      <x:c r="I303" s="8" t="d">
        <x:v>2026-05-02T00:00:00.000Z</x:v>
      </x:c>
      <x:c r="J303" s="7" t="n">
        <x:v>0</x:v>
      </x:c>
      <x:c r="K303" s="1" t="n">
        <x:v>0</x:v>
      </x:c>
      <x:c r="L303" s="1" t="n">
        <x:v>0</x:v>
      </x:c>
      <x:c r="M303" s="1" t="n">
        <x:v>151</x:v>
      </x:c>
      <x:c r="N303" s="1"/>
      <x:c r="O303" s="1"/>
      <x:c r="P303" s="1"/>
      <x:c r="Q303" s="1"/>
    </x:row>
    <x:row r="304" ht="22" customHeight="1">
      <x:c r="A304" s="1" t="str">
        <x:v>O0299</x:v>
      </x:c>
      <x:c r="B304" s="1" t="str">
        <x:v>Simulated Guwahati Engineering College 299</x:v>
      </x:c>
      <x:c r="C304" s="1" t="str">
        <x:v>Northeast</x:v>
      </x:c>
      <x:c r="D304" s="1" t="str">
        <x:v>Closed Lost</x:v>
      </x:c>
      <x:c r="E304" s="1" t="str">
        <x:v>Lost</x:v>
      </x:c>
      <x:c r="F304" s="7" t="n">
        <x:v>187000</x:v>
      </x:c>
      <x:c r="G304" s="8" t="d">
        <x:v>2026-01-01T00:00:00.000Z</x:v>
      </x:c>
      <x:c r="H304" s="8" t="d">
        <x:v>2026-05-24T00:00:00.000Z</x:v>
      </x:c>
      <x:c r="I304" s="8" t="d">
        <x:v>2026-03-02T00:00:00.000Z</x:v>
      </x:c>
      <x:c r="J304" s="7" t="n">
        <x:v>0</x:v>
      </x:c>
      <x:c r="K304" s="1" t="n">
        <x:v>0</x:v>
      </x:c>
      <x:c r="L304" s="1" t="n">
        <x:v>0</x:v>
      </x:c>
      <x:c r="M304" s="1" t="n">
        <x:v>212</x:v>
      </x:c>
      <x:c r="N304" s="1"/>
      <x:c r="O304" s="1"/>
      <x:c r="P304" s="1"/>
      <x:c r="Q304" s="1"/>
    </x:row>
    <x:row r="305" ht="22" customHeight="1">
      <x:c r="A305" s="1" t="str">
        <x:v>O0300</x:v>
      </x:c>
      <x:c r="B305" s="1" t="str">
        <x:v>Simulated Indore University 300</x:v>
      </x:c>
      <x:c r="C305" s="1" t="str">
        <x:v>Central</x:v>
      </x:c>
      <x:c r="D305" s="1" t="str">
        <x:v>Closed Lost</x:v>
      </x:c>
      <x:c r="E305" s="1" t="str">
        <x:v>Lost</x:v>
      </x:c>
      <x:c r="F305" s="7" t="n">
        <x:v>628000</x:v>
      </x:c>
      <x:c r="G305" s="8" t="d">
        <x:v>2026-08-24T00:00:00.000Z</x:v>
      </x:c>
      <x:c r="H305" s="8" t="d">
        <x:v>2026-12-10T00:00:00.000Z</x:v>
      </x:c>
      <x:c r="I305" s="8" t="d">
        <x:v>2026-09-20T00:00:00.000Z</x:v>
      </x:c>
      <x:c r="J305" s="7" t="n">
        <x:v>0</x:v>
      </x:c>
      <x:c r="K305" s="1" t="n">
        <x:v>0</x:v>
      </x:c>
      <x:c r="L305" s="1" t="n">
        <x:v>0</x:v>
      </x:c>
      <x:c r="M305" s="1" t="n">
        <x:v>10</x:v>
      </x:c>
      <x:c r="N305" s="1"/>
      <x:c r="O305" s="1"/>
      <x:c r="P305" s="1"/>
      <x:c r="Q305" s="1"/>
    </x:row>
    <x:row r="306" ht="22" customHeight="1">
      <x:c r="A306" s="1" t="str">
        <x:v>O0301</x:v>
      </x:c>
      <x:c r="B306" s="1" t="str">
        <x:v>Simulated New Delhi University 301</x:v>
      </x:c>
      <x:c r="C306" s="1" t="str">
        <x:v>North</x:v>
      </x:c>
      <x:c r="D306" s="1" t="str">
        <x:v>Meeting Scheduled</x:v>
      </x:c>
      <x:c r="E306" s="1" t="str">
        <x:v>Open</x:v>
      </x:c>
      <x:c r="F306" s="7" t="n">
        <x:v>775000</x:v>
      </x:c>
      <x:c r="G306" s="8" t="d">
        <x:v>2026-07-18T00:00:00.000Z</x:v>
      </x:c>
      <x:c r="H306" s="8" t="d">
        <x:v>2026-10-08T00:00:00.000Z</x:v>
      </x:c>
      <x:c r="I306" s="8"/>
      <x:c r="J306" s="7" t="n">
        <x:v>0</x:v>
      </x:c>
      <x:c r="K306" s="1" t="n">
        <x:v>76.48</x:v>
      </x:c>
      <x:c r="L306" s="1" t="n">
        <x:v>1</x:v>
      </x:c>
      <x:c r="M306" s="1" t="n">
        <x:v>8</x:v>
      </x:c>
      <x:c r="N306" s="1"/>
      <x:c r="O306" s="1"/>
      <x:c r="P306" s="1"/>
      <x:c r="Q306" s="1"/>
    </x:row>
    <x:row r="307" ht="22" customHeight="1">
      <x:c r="A307" s="1" t="str">
        <x:v>O0302</x:v>
      </x:c>
      <x:c r="B307" s="1" t="str">
        <x:v>Simulated Noida Management Institute 302</x:v>
      </x:c>
      <x:c r="C307" s="1" t="str">
        <x:v>North</x:v>
      </x:c>
      <x:c r="D307" s="1" t="str">
        <x:v>Closed Lost</x:v>
      </x:c>
      <x:c r="E307" s="1" t="str">
        <x:v>Lost</x:v>
      </x:c>
      <x:c r="F307" s="7" t="n">
        <x:v>319000</x:v>
      </x:c>
      <x:c r="G307" s="8" t="d">
        <x:v>2026-04-27T00:00:00.000Z</x:v>
      </x:c>
      <x:c r="H307" s="8" t="d">
        <x:v>2026-08-26T00:00:00.000Z</x:v>
      </x:c>
      <x:c r="I307" s="8" t="d">
        <x:v>2026-08-24T00:00:00.000Z</x:v>
      </x:c>
      <x:c r="J307" s="7" t="n">
        <x:v>0</x:v>
      </x:c>
      <x:c r="K307" s="1" t="n">
        <x:v>0</x:v>
      </x:c>
      <x:c r="L307" s="1" t="n">
        <x:v>0</x:v>
      </x:c>
      <x:c r="M307" s="1" t="n">
        <x:v>37</x:v>
      </x:c>
      <x:c r="N307" s="1"/>
      <x:c r="O307" s="1"/>
      <x:c r="P307" s="1"/>
      <x:c r="Q307" s="1"/>
    </x:row>
    <x:row r="308" ht="22" customHeight="1">
      <x:c r="A308" s="1" t="str">
        <x:v>O0303</x:v>
      </x:c>
      <x:c r="B308" s="1" t="str">
        <x:v>Simulated Gurugram Arts and Science College 303</x:v>
      </x:c>
      <x:c r="C308" s="1" t="str">
        <x:v>North</x:v>
      </x:c>
      <x:c r="D308" s="1" t="str">
        <x:v>Qualified</x:v>
      </x:c>
      <x:c r="E308" s="1" t="str">
        <x:v>Open</x:v>
      </x:c>
      <x:c r="F308" s="7" t="n">
        <x:v>249000</x:v>
      </x:c>
      <x:c r="G308" s="8" t="d">
        <x:v>2026-07-08T00:00:00.000Z</x:v>
      </x:c>
      <x:c r="H308" s="8" t="d">
        <x:v>2026-10-14T00:00:00.000Z</x:v>
      </x:c>
      <x:c r="I308" s="8"/>
      <x:c r="J308" s="7" t="n">
        <x:v>0</x:v>
      </x:c>
      <x:c r="K308" s="1" t="n">
        <x:v>47.51</x:v>
      </x:c>
      <x:c r="L308" s="1" t="n">
        <x:v>0</x:v>
      </x:c>
      <x:c r="M308" s="1" t="n">
        <x:v>63</x:v>
      </x:c>
      <x:c r="N308" s="1"/>
      <x:c r="O308" s="1"/>
      <x:c r="P308" s="1"/>
      <x:c r="Q308" s="1"/>
    </x:row>
    <x:row r="309" ht="22" customHeight="1">
      <x:c r="A309" s="1" t="str">
        <x:v>O0304</x:v>
      </x:c>
      <x:c r="B309" s="1" t="str">
        <x:v>Simulated Ludhiana University 304</x:v>
      </x:c>
      <x:c r="C309" s="1" t="str">
        <x:v>North</x:v>
      </x:c>
      <x:c r="D309" s="1" t="str">
        <x:v>Closed Lost</x:v>
      </x:c>
      <x:c r="E309" s="1" t="str">
        <x:v>Lost</x:v>
      </x:c>
      <x:c r="F309" s="7" t="n">
        <x:v>939000</x:v>
      </x:c>
      <x:c r="G309" s="8" t="d">
        <x:v>2026-04-14T00:00:00.000Z</x:v>
      </x:c>
      <x:c r="H309" s="8" t="d">
        <x:v>2026-08-04T00:00:00.000Z</x:v>
      </x:c>
      <x:c r="I309" s="8" t="d">
        <x:v>2026-08-10T00:00:00.000Z</x:v>
      </x:c>
      <x:c r="J309" s="7" t="n">
        <x:v>0</x:v>
      </x:c>
      <x:c r="K309" s="1" t="n">
        <x:v>0</x:v>
      </x:c>
      <x:c r="L309" s="1" t="n">
        <x:v>0</x:v>
      </x:c>
      <x:c r="M309" s="1" t="n">
        <x:v>51</x:v>
      </x:c>
      <x:c r="N309" s="1"/>
      <x:c r="O309" s="1"/>
      <x:c r="P309" s="1"/>
      <x:c r="Q309" s="1"/>
    </x:row>
    <x:row r="310" ht="22" customHeight="1">
      <x:c r="A310" s="1" t="str">
        <x:v>O0305</x:v>
      </x:c>
      <x:c r="B310" s="1" t="str">
        <x:v>Simulated Pune Arts and Science College 305</x:v>
      </x:c>
      <x:c r="C310" s="1" t="str">
        <x:v>West</x:v>
      </x:c>
      <x:c r="D310" s="1" t="str">
        <x:v>Prospect Identified</x:v>
      </x:c>
      <x:c r="E310" s="1" t="str">
        <x:v>Open</x:v>
      </x:c>
      <x:c r="F310" s="7" t="n">
        <x:v>208000</x:v>
      </x:c>
      <x:c r="G310" s="8" t="d">
        <x:v>2026-09-18T00:00:00.000Z</x:v>
      </x:c>
      <x:c r="H310" s="8" t="d">
        <x:v>2027-01-14T00:00:00.000Z</x:v>
      </x:c>
      <x:c r="I310" s="8"/>
      <x:c r="J310" s="7" t="n">
        <x:v>0</x:v>
      </x:c>
      <x:c r="K310" s="1" t="n">
        <x:v>48.07</x:v>
      </x:c>
      <x:c r="L310" s="1" t="n">
        <x:v>0</x:v>
      </x:c>
      <x:c r="M310" s="1" t="n">
        <x:v>12</x:v>
      </x:c>
      <x:c r="N310" s="1"/>
      <x:c r="O310" s="1"/>
      <x:c r="P310" s="1"/>
      <x:c r="Q310" s="1"/>
    </x:row>
    <x:row r="311" ht="22" customHeight="1">
      <x:c r="A311" s="1" t="str">
        <x:v>O0306</x:v>
      </x:c>
      <x:c r="B311" s="1" t="str">
        <x:v>Simulated Ahmedabad University 306</x:v>
      </x:c>
      <x:c r="C311" s="1" t="str">
        <x:v>West</x:v>
      </x:c>
      <x:c r="D311" s="1" t="str">
        <x:v>Closed Lost</x:v>
      </x:c>
      <x:c r="E311" s="1" t="str">
        <x:v>Lost</x:v>
      </x:c>
      <x:c r="F311" s="7" t="n">
        <x:v>672000</x:v>
      </x:c>
      <x:c r="G311" s="8" t="d">
        <x:v>2026-01-18T00:00:00.000Z</x:v>
      </x:c>
      <x:c r="H311" s="8" t="d">
        <x:v>2026-04-09T00:00:00.000Z</x:v>
      </x:c>
      <x:c r="I311" s="8" t="d">
        <x:v>2026-02-06T00:00:00.000Z</x:v>
      </x:c>
      <x:c r="J311" s="7" t="n">
        <x:v>0</x:v>
      </x:c>
      <x:c r="K311" s="1" t="n">
        <x:v>0</x:v>
      </x:c>
      <x:c r="L311" s="1" t="n">
        <x:v>0</x:v>
      </x:c>
      <x:c r="M311" s="1" t="n">
        <x:v>236</x:v>
      </x:c>
      <x:c r="N311" s="1"/>
      <x:c r="O311" s="1"/>
      <x:c r="P311" s="1"/>
      <x:c r="Q311" s="1"/>
    </x:row>
    <x:row r="312" ht="22" customHeight="1">
      <x:c r="A312" s="1" t="str">
        <x:v>O0307</x:v>
      </x:c>
      <x:c r="B312" s="1" t="str">
        <x:v>Simulated Jaipur University 307</x:v>
      </x:c>
      <x:c r="C312" s="1" t="str">
        <x:v>West</x:v>
      </x:c>
      <x:c r="D312" s="1" t="str">
        <x:v>Meeting Scheduled</x:v>
      </x:c>
      <x:c r="E312" s="1" t="str">
        <x:v>Open</x:v>
      </x:c>
      <x:c r="F312" s="7" t="n">
        <x:v>654000</x:v>
      </x:c>
      <x:c r="G312" s="8" t="d">
        <x:v>2026-03-17T00:00:00.000Z</x:v>
      </x:c>
      <x:c r="H312" s="8" t="d">
        <x:v>2026-07-21T00:00:00.000Z</x:v>
      </x:c>
      <x:c r="I312" s="8"/>
      <x:c r="J312" s="7" t="n">
        <x:v>0</x:v>
      </x:c>
      <x:c r="K312" s="1" t="n">
        <x:v>61.33</x:v>
      </x:c>
      <x:c r="L312" s="1" t="n">
        <x:v>1</x:v>
      </x:c>
      <x:c r="M312" s="1" t="n">
        <x:v>154</x:v>
      </x:c>
      <x:c r="N312" s="1"/>
      <x:c r="O312" s="1"/>
      <x:c r="P312" s="1"/>
      <x:c r="Q312" s="1"/>
    </x:row>
    <x:row r="313" ht="22" customHeight="1">
      <x:c r="A313" s="1" t="str">
        <x:v>O0308</x:v>
      </x:c>
      <x:c r="B313" s="1" t="str">
        <x:v>Simulated Bengaluru Arts and Science College 308</x:v>
      </x:c>
      <x:c r="C313" s="1" t="str">
        <x:v>South</x:v>
      </x:c>
      <x:c r="D313" s="1" t="str">
        <x:v>Initial Contact</x:v>
      </x:c>
      <x:c r="E313" s="1" t="str">
        <x:v>Open</x:v>
      </x:c>
      <x:c r="F313" s="7" t="n">
        <x:v>279000</x:v>
      </x:c>
      <x:c r="G313" s="8" t="d">
        <x:v>2025-10-24T00:00:00.000Z</x:v>
      </x:c>
      <x:c r="H313" s="8" t="d">
        <x:v>2026-03-07T00:00:00.000Z</x:v>
      </x:c>
      <x:c r="I313" s="8"/>
      <x:c r="J313" s="7" t="n">
        <x:v>0</x:v>
      </x:c>
      <x:c r="K313" s="1" t="n">
        <x:v>51.42</x:v>
      </x:c>
      <x:c r="L313" s="1" t="n">
        <x:v>1</x:v>
      </x:c>
      <x:c r="M313" s="1" t="n">
        <x:v>297</x:v>
      </x:c>
      <x:c r="N313" s="1"/>
      <x:c r="O313" s="1"/>
      <x:c r="P313" s="1"/>
      <x:c r="Q313" s="1"/>
    </x:row>
    <x:row r="314" ht="22" customHeight="1">
      <x:c r="A314" s="1" t="str">
        <x:v>O0309</x:v>
      </x:c>
      <x:c r="B314" s="1" t="str">
        <x:v>Simulated Chennai Management Institute 309</x:v>
      </x:c>
      <x:c r="C314" s="1" t="str">
        <x:v>South</x:v>
      </x:c>
      <x:c r="D314" s="1" t="str">
        <x:v>Closed Lost</x:v>
      </x:c>
      <x:c r="E314" s="1" t="str">
        <x:v>Lost</x:v>
      </x:c>
      <x:c r="F314" s="7" t="n">
        <x:v>193000</x:v>
      </x:c>
      <x:c r="G314" s="8" t="d">
        <x:v>2026-01-25T00:00:00.000Z</x:v>
      </x:c>
      <x:c r="H314" s="8" t="d">
        <x:v>2026-05-12T00:00:00.000Z</x:v>
      </x:c>
      <x:c r="I314" s="8" t="d">
        <x:v>2026-02-06T00:00:00.000Z</x:v>
      </x:c>
      <x:c r="J314" s="7" t="n">
        <x:v>0</x:v>
      </x:c>
      <x:c r="K314" s="1" t="n">
        <x:v>0</x:v>
      </x:c>
      <x:c r="L314" s="1" t="n">
        <x:v>0</x:v>
      </x:c>
      <x:c r="M314" s="1" t="n">
        <x:v>236</x:v>
      </x:c>
      <x:c r="N314" s="1"/>
      <x:c r="O314" s="1"/>
      <x:c r="P314" s="1"/>
      <x:c r="Q314" s="1"/>
    </x:row>
    <x:row r="315" ht="22" customHeight="1">
      <x:c r="A315" s="1" t="str">
        <x:v>O0310</x:v>
      </x:c>
      <x:c r="B315" s="1" t="str">
        <x:v>Simulated Hyderabad Engineering College 310</x:v>
      </x:c>
      <x:c r="C315" s="1" t="str">
        <x:v>South</x:v>
      </x:c>
      <x:c r="D315" s="1" t="str">
        <x:v>Prospect Identified</x:v>
      </x:c>
      <x:c r="E315" s="1" t="str">
        <x:v>Open</x:v>
      </x:c>
      <x:c r="F315" s="7" t="n">
        <x:v>343000</x:v>
      </x:c>
      <x:c r="G315" s="8" t="d">
        <x:v>2026-08-18T00:00:00.000Z</x:v>
      </x:c>
      <x:c r="H315" s="8" t="d">
        <x:v>2026-11-16T00:00:00.000Z</x:v>
      </x:c>
      <x:c r="I315" s="8"/>
      <x:c r="J315" s="7" t="n">
        <x:v>0</x:v>
      </x:c>
      <x:c r="K315" s="1" t="n">
        <x:v>54.57</x:v>
      </x:c>
      <x:c r="L315" s="1" t="n">
        <x:v>0</x:v>
      </x:c>
      <x:c r="M315" s="1" t="n">
        <x:v>43</x:v>
      </x:c>
      <x:c r="N315" s="1"/>
      <x:c r="O315" s="1"/>
      <x:c r="P315" s="1"/>
      <x:c r="Q315" s="1"/>
    </x:row>
    <x:row r="316" ht="22" customHeight="1">
      <x:c r="A316" s="1" t="str">
        <x:v>O0311</x:v>
      </x:c>
      <x:c r="B316" s="1" t="str">
        <x:v>Simulated Kolkata Management Institute 311</x:v>
      </x:c>
      <x:c r="C316" s="1" t="str">
        <x:v>East</x:v>
      </x:c>
      <x:c r="D316" s="1" t="str">
        <x:v>Closed Lost</x:v>
      </x:c>
      <x:c r="E316" s="1" t="str">
        <x:v>Lost</x:v>
      </x:c>
      <x:c r="F316" s="7" t="n">
        <x:v>184000</x:v>
      </x:c>
      <x:c r="G316" s="8" t="d">
        <x:v>2025-10-31T00:00:00.000Z</x:v>
      </x:c>
      <x:c r="H316" s="8" t="d">
        <x:v>2026-02-26T00:00:00.000Z</x:v>
      </x:c>
      <x:c r="I316" s="8" t="d">
        <x:v>2026-02-16T00:00:00.000Z</x:v>
      </x:c>
      <x:c r="J316" s="7" t="n">
        <x:v>0</x:v>
      </x:c>
      <x:c r="K316" s="1" t="n">
        <x:v>0</x:v>
      </x:c>
      <x:c r="L316" s="1" t="n">
        <x:v>0</x:v>
      </x:c>
      <x:c r="M316" s="1" t="n">
        <x:v>226</x:v>
      </x:c>
      <x:c r="N316" s="1"/>
      <x:c r="O316" s="1"/>
      <x:c r="P316" s="1"/>
      <x:c r="Q316" s="1"/>
    </x:row>
    <x:row r="317" ht="22" customHeight="1">
      <x:c r="A317" s="1" t="str">
        <x:v>O0312</x:v>
      </x:c>
      <x:c r="B317" s="1" t="str">
        <x:v>Simulated Bhubaneswar Arts and Science College 312</x:v>
      </x:c>
      <x:c r="C317" s="1" t="str">
        <x:v>East</x:v>
      </x:c>
      <x:c r="D317" s="1" t="str">
        <x:v>Closed Lost</x:v>
      </x:c>
      <x:c r="E317" s="1" t="str">
        <x:v>Lost</x:v>
      </x:c>
      <x:c r="F317" s="7" t="n">
        <x:v>498000</x:v>
      </x:c>
      <x:c r="G317" s="8" t="d">
        <x:v>2026-05-26T00:00:00.000Z</x:v>
      </x:c>
      <x:c r="H317" s="8" t="d">
        <x:v>2026-09-01T00:00:00.000Z</x:v>
      </x:c>
      <x:c r="I317" s="8" t="d">
        <x:v>2026-09-12T00:00:00.000Z</x:v>
      </x:c>
      <x:c r="J317" s="7" t="n">
        <x:v>0</x:v>
      </x:c>
      <x:c r="K317" s="1" t="n">
        <x:v>0</x:v>
      </x:c>
      <x:c r="L317" s="1" t="n">
        <x:v>0</x:v>
      </x:c>
      <x:c r="M317" s="1" t="n">
        <x:v>18</x:v>
      </x:c>
      <x:c r="N317" s="1"/>
      <x:c r="O317" s="1"/>
      <x:c r="P317" s="1"/>
      <x:c r="Q317" s="1"/>
    </x:row>
    <x:row r="318" ht="22" customHeight="1">
      <x:c r="A318" s="1" t="str">
        <x:v>O0313</x:v>
      </x:c>
      <x:c r="B318" s="1" t="str">
        <x:v>Simulated Patna University 313</x:v>
      </x:c>
      <x:c r="C318" s="1" t="str">
        <x:v>East</x:v>
      </x:c>
      <x:c r="D318" s="1" t="str">
        <x:v>Meeting Scheduled</x:v>
      </x:c>
      <x:c r="E318" s="1" t="str">
        <x:v>Open</x:v>
      </x:c>
      <x:c r="F318" s="7" t="n">
        <x:v>300000</x:v>
      </x:c>
      <x:c r="G318" s="8" t="d">
        <x:v>2026-06-10T00:00:00.000Z</x:v>
      </x:c>
      <x:c r="H318" s="8" t="d">
        <x:v>2026-09-22T00:00:00.000Z</x:v>
      </x:c>
      <x:c r="I318" s="8"/>
      <x:c r="J318" s="7" t="n">
        <x:v>0</x:v>
      </x:c>
      <x:c r="K318" s="1" t="n">
        <x:v>63.57</x:v>
      </x:c>
      <x:c r="L318" s="1" t="n">
        <x:v>0</x:v>
      </x:c>
      <x:c r="M318" s="1" t="n">
        <x:v>54</x:v>
      </x:c>
      <x:c r="N318" s="1"/>
      <x:c r="O318" s="1"/>
      <x:c r="P318" s="1"/>
      <x:c r="Q318" s="1"/>
    </x:row>
    <x:row r="319" ht="22" customHeight="1">
      <x:c r="A319" s="1" t="str">
        <x:v>O0314</x:v>
      </x:c>
      <x:c r="B319" s="1" t="str">
        <x:v>Simulated Guwahati Engineering College 314</x:v>
      </x:c>
      <x:c r="C319" s="1" t="str">
        <x:v>Northeast</x:v>
      </x:c>
      <x:c r="D319" s="1" t="str">
        <x:v>Closed Lost</x:v>
      </x:c>
      <x:c r="E319" s="1" t="str">
        <x:v>Lost</x:v>
      </x:c>
      <x:c r="F319" s="7" t="n">
        <x:v>165000</x:v>
      </x:c>
      <x:c r="G319" s="8" t="d">
        <x:v>2025-12-11T00:00:00.000Z</x:v>
      </x:c>
      <x:c r="H319" s="8" t="d">
        <x:v>2026-03-17T00:00:00.000Z</x:v>
      </x:c>
      <x:c r="I319" s="8" t="d">
        <x:v>2026-04-07T00:00:00.000Z</x:v>
      </x:c>
      <x:c r="J319" s="7" t="n">
        <x:v>0</x:v>
      </x:c>
      <x:c r="K319" s="1" t="n">
        <x:v>0</x:v>
      </x:c>
      <x:c r="L319" s="1" t="n">
        <x:v>0</x:v>
      </x:c>
      <x:c r="M319" s="1" t="n">
        <x:v>176</x:v>
      </x:c>
      <x:c r="N319" s="1"/>
      <x:c r="O319" s="1"/>
      <x:c r="P319" s="1"/>
      <x:c r="Q319" s="1"/>
    </x:row>
    <x:row r="320" ht="22" customHeight="1">
      <x:c r="A320" s="1" t="str">
        <x:v>O0315</x:v>
      </x:c>
      <x:c r="B320" s="1" t="str">
        <x:v>Simulated Indore Management Institute 315</x:v>
      </x:c>
      <x:c r="C320" s="1" t="str">
        <x:v>Central</x:v>
      </x:c>
      <x:c r="D320" s="1" t="str">
        <x:v>Closed Lost</x:v>
      </x:c>
      <x:c r="E320" s="1" t="str">
        <x:v>Lost</x:v>
      </x:c>
      <x:c r="F320" s="7" t="n">
        <x:v>131000</x:v>
      </x:c>
      <x:c r="G320" s="8" t="d">
        <x:v>2026-01-19T00:00:00.000Z</x:v>
      </x:c>
      <x:c r="H320" s="8" t="d">
        <x:v>2026-06-04T00:00:00.000Z</x:v>
      </x:c>
      <x:c r="I320" s="8" t="d">
        <x:v>2026-01-26T00:00:00.000Z</x:v>
      </x:c>
      <x:c r="J320" s="7" t="n">
        <x:v>0</x:v>
      </x:c>
      <x:c r="K320" s="1" t="n">
        <x:v>0</x:v>
      </x:c>
      <x:c r="L320" s="1" t="n">
        <x:v>0</x:v>
      </x:c>
      <x:c r="M320" s="1" t="n">
        <x:v>247</x:v>
      </x:c>
      <x:c r="N320" s="1"/>
      <x:c r="O320" s="1"/>
      <x:c r="P320" s="1"/>
      <x:c r="Q320" s="1"/>
    </x:row>
    <x:row r="321" ht="22" customHeight="1">
      <x:c r="A321" s="1" t="str">
        <x:v>O0316</x:v>
      </x:c>
      <x:c r="B321" s="1" t="str">
        <x:v>Simulated New Delhi Engineering College 316</x:v>
      </x:c>
      <x:c r="C321" s="1" t="str">
        <x:v>North</x:v>
      </x:c>
      <x:c r="D321" s="1" t="str">
        <x:v>Prospect Identified</x:v>
      </x:c>
      <x:c r="E321" s="1" t="str">
        <x:v>Open</x:v>
      </x:c>
      <x:c r="F321" s="7" t="n">
        <x:v>94000</x:v>
      </x:c>
      <x:c r="G321" s="8" t="d">
        <x:v>2026-09-03T00:00:00.000Z</x:v>
      </x:c>
      <x:c r="H321" s="8" t="d">
        <x:v>2026-12-08T00:00:00.000Z</x:v>
      </x:c>
      <x:c r="I321" s="8"/>
      <x:c r="J321" s="7" t="n">
        <x:v>0</x:v>
      </x:c>
      <x:c r="K321" s="1" t="n">
        <x:v>39.16</x:v>
      </x:c>
      <x:c r="L321" s="1" t="n">
        <x:v>0</x:v>
      </x:c>
      <x:c r="M321" s="1" t="n">
        <x:v>27</x:v>
      </x:c>
      <x:c r="N321" s="1"/>
      <x:c r="O321" s="1"/>
      <x:c r="P321" s="1"/>
      <x:c r="Q321" s="1"/>
    </x:row>
    <x:row r="322" ht="22" customHeight="1">
      <x:c r="A322" s="1" t="str">
        <x:v>O0317</x:v>
      </x:c>
      <x:c r="B322" s="1" t="str">
        <x:v>Simulated Noida Management Institute 317</x:v>
      </x:c>
      <x:c r="C322" s="1" t="str">
        <x:v>North</x:v>
      </x:c>
      <x:c r="D322" s="1" t="str">
        <x:v>Initial Contact</x:v>
      </x:c>
      <x:c r="E322" s="1" t="str">
        <x:v>Open</x:v>
      </x:c>
      <x:c r="F322" s="7" t="n">
        <x:v>406000</x:v>
      </x:c>
      <x:c r="G322" s="8" t="d">
        <x:v>2026-02-21T00:00:00.000Z</x:v>
      </x:c>
      <x:c r="H322" s="8" t="d">
        <x:v>2026-06-12T00:00:00.000Z</x:v>
      </x:c>
      <x:c r="I322" s="8"/>
      <x:c r="J322" s="7" t="n">
        <x:v>0</x:v>
      </x:c>
      <x:c r="K322" s="1" t="n">
        <x:v>47.57</x:v>
      </x:c>
      <x:c r="L322" s="1" t="n">
        <x:v>1</x:v>
      </x:c>
      <x:c r="M322" s="1" t="n">
        <x:v>187</x:v>
      </x:c>
      <x:c r="N322" s="1"/>
      <x:c r="O322" s="1"/>
      <x:c r="P322" s="1"/>
      <x:c r="Q322" s="1"/>
    </x:row>
    <x:row r="323" ht="22" customHeight="1">
      <x:c r="A323" s="1" t="str">
        <x:v>O0318</x:v>
      </x:c>
      <x:c r="B323" s="1" t="str">
        <x:v>Simulated Gurugram Arts and Science College 318</x:v>
      </x:c>
      <x:c r="C323" s="1" t="str">
        <x:v>North</x:v>
      </x:c>
      <x:c r="D323" s="1" t="str">
        <x:v>Qualified</x:v>
      </x:c>
      <x:c r="E323" s="1" t="str">
        <x:v>Open</x:v>
      </x:c>
      <x:c r="F323" s="7" t="n">
        <x:v>428000</x:v>
      </x:c>
      <x:c r="G323" s="8" t="d">
        <x:v>2026-05-23T00:00:00.000Z</x:v>
      </x:c>
      <x:c r="H323" s="8" t="d">
        <x:v>2026-08-25T00:00:00.000Z</x:v>
      </x:c>
      <x:c r="I323" s="8"/>
      <x:c r="J323" s="7" t="n">
        <x:v>0</x:v>
      </x:c>
      <x:c r="K323" s="1" t="n">
        <x:v>44.04</x:v>
      </x:c>
      <x:c r="L323" s="1" t="n">
        <x:v>1</x:v>
      </x:c>
      <x:c r="M323" s="1" t="n">
        <x:v>120</x:v>
      </x:c>
      <x:c r="N323" s="1"/>
      <x:c r="O323" s="1"/>
      <x:c r="P323" s="1"/>
      <x:c r="Q323" s="1"/>
    </x:row>
    <x:row r="324" ht="22" customHeight="1">
      <x:c r="A324" s="1" t="str">
        <x:v>O0319</x:v>
      </x:c>
      <x:c r="B324" s="1" t="str">
        <x:v>Simulated Ludhiana Engineering College 319</x:v>
      </x:c>
      <x:c r="C324" s="1" t="str">
        <x:v>North</x:v>
      </x:c>
      <x:c r="D324" s="1" t="str">
        <x:v>Closed Lost</x:v>
      </x:c>
      <x:c r="E324" s="1" t="str">
        <x:v>Lost</x:v>
      </x:c>
      <x:c r="F324" s="7" t="n">
        <x:v>180000</x:v>
      </x:c>
      <x:c r="G324" s="8" t="d">
        <x:v>2026-02-11T00:00:00.000Z</x:v>
      </x:c>
      <x:c r="H324" s="8" t="d">
        <x:v>2026-06-27T00:00:00.000Z</x:v>
      </x:c>
      <x:c r="I324" s="8" t="d">
        <x:v>2026-04-25T00:00:00.000Z</x:v>
      </x:c>
      <x:c r="J324" s="7" t="n">
        <x:v>0</x:v>
      </x:c>
      <x:c r="K324" s="1" t="n">
        <x:v>0</x:v>
      </x:c>
      <x:c r="L324" s="1" t="n">
        <x:v>0</x:v>
      </x:c>
      <x:c r="M324" s="1" t="n">
        <x:v>158</x:v>
      </x:c>
      <x:c r="N324" s="1"/>
      <x:c r="O324" s="1"/>
      <x:c r="P324" s="1"/>
      <x:c r="Q324" s="1"/>
    </x:row>
    <x:row r="325" ht="22" customHeight="1">
      <x:c r="A325" s="1" t="str">
        <x:v>O0320</x:v>
      </x:c>
      <x:c r="B325" s="1" t="str">
        <x:v>Simulated Pune Management Institute 320</x:v>
      </x:c>
      <x:c r="C325" s="1" t="str">
        <x:v>West</x:v>
      </x:c>
      <x:c r="D325" s="1" t="str">
        <x:v>Prospect Identified</x:v>
      </x:c>
      <x:c r="E325" s="1" t="str">
        <x:v>Open</x:v>
      </x:c>
      <x:c r="F325" s="7" t="n">
        <x:v>339000</x:v>
      </x:c>
      <x:c r="G325" s="8" t="d">
        <x:v>2025-12-12T00:00:00.000Z</x:v>
      </x:c>
      <x:c r="H325" s="8" t="d">
        <x:v>2026-03-05T00:00:00.000Z</x:v>
      </x:c>
      <x:c r="I325" s="8"/>
      <x:c r="J325" s="7" t="n">
        <x:v>0</x:v>
      </x:c>
      <x:c r="K325" s="1" t="n">
        <x:v>35.83</x:v>
      </x:c>
      <x:c r="L325" s="1" t="n">
        <x:v>1</x:v>
      </x:c>
      <x:c r="M325" s="1" t="n">
        <x:v>292</x:v>
      </x:c>
      <x:c r="N325" s="1"/>
      <x:c r="O325" s="1"/>
      <x:c r="P325" s="1"/>
      <x:c r="Q325" s="1"/>
    </x:row>
    <x:row r="326" ht="22" customHeight="1">
      <x:c r="A326" s="1" t="str">
        <x:v>O0321</x:v>
      </x:c>
      <x:c r="B326" s="1" t="str">
        <x:v>Simulated Ahmedabad Management Institute 321</x:v>
      </x:c>
      <x:c r="C326" s="1" t="str">
        <x:v>West</x:v>
      </x:c>
      <x:c r="D326" s="1" t="str">
        <x:v>Initial Contact</x:v>
      </x:c>
      <x:c r="E326" s="1" t="str">
        <x:v>Open</x:v>
      </x:c>
      <x:c r="F326" s="7" t="n">
        <x:v>248000</x:v>
      </x:c>
      <x:c r="G326" s="8" t="d">
        <x:v>2026-08-08T00:00:00.000Z</x:v>
      </x:c>
      <x:c r="H326" s="8" t="d">
        <x:v>2026-11-28T00:00:00.000Z</x:v>
      </x:c>
      <x:c r="I326" s="8"/>
      <x:c r="J326" s="7" t="n">
        <x:v>0</x:v>
      </x:c>
      <x:c r="K326" s="1" t="n">
        <x:v>47.23</x:v>
      </x:c>
      <x:c r="L326" s="1" t="n">
        <x:v>1</x:v>
      </x:c>
      <x:c r="M326" s="1" t="n">
        <x:v>4</x:v>
      </x:c>
      <x:c r="N326" s="1"/>
      <x:c r="O326" s="1"/>
      <x:c r="P326" s="1"/>
      <x:c r="Q326" s="1"/>
    </x:row>
    <x:row r="327" ht="22" customHeight="1">
      <x:c r="A327" s="1" t="str">
        <x:v>O0322</x:v>
      </x:c>
      <x:c r="B327" s="1" t="str">
        <x:v>Simulated Jaipur Arts and Science College 322</x:v>
      </x:c>
      <x:c r="C327" s="1" t="str">
        <x:v>West</x:v>
      </x:c>
      <x:c r="D327" s="1" t="str">
        <x:v>Qualified</x:v>
      </x:c>
      <x:c r="E327" s="1" t="str">
        <x:v>Open</x:v>
      </x:c>
      <x:c r="F327" s="7" t="n">
        <x:v>89000</x:v>
      </x:c>
      <x:c r="G327" s="8" t="d">
        <x:v>2025-10-20T00:00:00.000Z</x:v>
      </x:c>
      <x:c r="H327" s="8" t="d">
        <x:v>2026-02-26T00:00:00.000Z</x:v>
      </x:c>
      <x:c r="I327" s="8"/>
      <x:c r="J327" s="7" t="n">
        <x:v>0</x:v>
      </x:c>
      <x:c r="K327" s="1" t="n">
        <x:v>32.18</x:v>
      </x:c>
      <x:c r="L327" s="1" t="n">
        <x:v>1</x:v>
      </x:c>
      <x:c r="M327" s="1" t="n">
        <x:v>324</x:v>
      </x:c>
      <x:c r="N327" s="1"/>
      <x:c r="O327" s="1"/>
      <x:c r="P327" s="1"/>
      <x:c r="Q327" s="1"/>
    </x:row>
    <x:row r="328" ht="22" customHeight="1">
      <x:c r="A328" s="1" t="str">
        <x:v>O0323</x:v>
      </x:c>
      <x:c r="B328" s="1" t="str">
        <x:v>Simulated Bengaluru University 323</x:v>
      </x:c>
      <x:c r="C328" s="1" t="str">
        <x:v>South</x:v>
      </x:c>
      <x:c r="D328" s="1" t="str">
        <x:v>Closed Won</x:v>
      </x:c>
      <x:c r="E328" s="1" t="str">
        <x:v>Won</x:v>
      </x:c>
      <x:c r="F328" s="7" t="n">
        <x:v>895000</x:v>
      </x:c>
      <x:c r="G328" s="8" t="d">
        <x:v>2025-11-28T00:00:00.000Z</x:v>
      </x:c>
      <x:c r="H328" s="8" t="d">
        <x:v>2026-03-30T00:00:00.000Z</x:v>
      </x:c>
      <x:c r="I328" s="8" t="d">
        <x:v>2026-03-26T00:00:00.000Z</x:v>
      </x:c>
      <x:c r="J328" s="7" t="n">
        <x:v>463438.36</x:v>
      </x:c>
      <x:c r="K328" s="1" t="n">
        <x:v>0</x:v>
      </x:c>
      <x:c r="L328" s="1" t="n">
        <x:v>0</x:v>
      </x:c>
      <x:c r="M328" s="1" t="n">
        <x:v>188</x:v>
      </x:c>
      <x:c r="N328" s="1"/>
      <x:c r="O328" s="1"/>
      <x:c r="P328" s="1"/>
      <x:c r="Q328" s="1"/>
    </x:row>
    <x:row r="329" ht="22" customHeight="1">
      <x:c r="A329" s="1" t="str">
        <x:v>O0324</x:v>
      </x:c>
      <x:c r="B329" s="1" t="str">
        <x:v>Simulated Chennai Arts and Science College 324</x:v>
      </x:c>
      <x:c r="C329" s="1" t="str">
        <x:v>South</x:v>
      </x:c>
      <x:c r="D329" s="1" t="str">
        <x:v>Qualified</x:v>
      </x:c>
      <x:c r="E329" s="1" t="str">
        <x:v>Open</x:v>
      </x:c>
      <x:c r="F329" s="7" t="n">
        <x:v>95000</x:v>
      </x:c>
      <x:c r="G329" s="8" t="d">
        <x:v>2026-02-16T00:00:00.000Z</x:v>
      </x:c>
      <x:c r="H329" s="8" t="d">
        <x:v>2026-05-08T00:00:00.000Z</x:v>
      </x:c>
      <x:c r="I329" s="8"/>
      <x:c r="J329" s="7" t="n">
        <x:v>0</x:v>
      </x:c>
      <x:c r="K329" s="1" t="n">
        <x:v>28.24</x:v>
      </x:c>
      <x:c r="L329" s="1" t="n">
        <x:v>1</x:v>
      </x:c>
      <x:c r="M329" s="1" t="n">
        <x:v>204</x:v>
      </x:c>
      <x:c r="N329" s="1"/>
      <x:c r="O329" s="1"/>
      <x:c r="P329" s="1"/>
      <x:c r="Q329" s="1"/>
    </x:row>
    <x:row r="330" ht="22" customHeight="1">
      <x:c r="A330" s="1" t="str">
        <x:v>O0325</x:v>
      </x:c>
      <x:c r="B330" s="1" t="str">
        <x:v>Simulated Hyderabad Engineering College 325</x:v>
      </x:c>
      <x:c r="C330" s="1" t="str">
        <x:v>South</x:v>
      </x:c>
      <x:c r="D330" s="1" t="str">
        <x:v>Closed Lost</x:v>
      </x:c>
      <x:c r="E330" s="1" t="str">
        <x:v>Lost</x:v>
      </x:c>
      <x:c r="F330" s="7" t="n">
        <x:v>153000</x:v>
      </x:c>
      <x:c r="G330" s="8" t="d">
        <x:v>2026-03-23T00:00:00.000Z</x:v>
      </x:c>
      <x:c r="H330" s="8" t="d">
        <x:v>2026-08-17T00:00:00.000Z</x:v>
      </x:c>
      <x:c r="I330" s="8" t="d">
        <x:v>2026-07-12T00:00:00.000Z</x:v>
      </x:c>
      <x:c r="J330" s="7" t="n">
        <x:v>0</x:v>
      </x:c>
      <x:c r="K330" s="1" t="n">
        <x:v>0</x:v>
      </x:c>
      <x:c r="L330" s="1" t="n">
        <x:v>0</x:v>
      </x:c>
      <x:c r="M330" s="1" t="n">
        <x:v>80</x:v>
      </x:c>
      <x:c r="N330" s="1"/>
      <x:c r="O330" s="1"/>
      <x:c r="P330" s="1"/>
      <x:c r="Q330" s="1"/>
    </x:row>
    <x:row r="331" ht="22" customHeight="1">
      <x:c r="A331" s="1" t="str">
        <x:v>O0326</x:v>
      </x:c>
      <x:c r="B331" s="1" t="str">
        <x:v>Simulated Kolkata Management Institute 326</x:v>
      </x:c>
      <x:c r="C331" s="1" t="str">
        <x:v>East</x:v>
      </x:c>
      <x:c r="D331" s="1" t="str">
        <x:v>Prospect Identified</x:v>
      </x:c>
      <x:c r="E331" s="1" t="str">
        <x:v>Open</x:v>
      </x:c>
      <x:c r="F331" s="7" t="n">
        <x:v>211000</x:v>
      </x:c>
      <x:c r="G331" s="8" t="d">
        <x:v>2025-12-12T00:00:00.000Z</x:v>
      </x:c>
      <x:c r="H331" s="8" t="d">
        <x:v>2026-04-07T00:00:00.000Z</x:v>
      </x:c>
      <x:c r="I331" s="8"/>
      <x:c r="J331" s="7" t="n">
        <x:v>0</x:v>
      </x:c>
      <x:c r="K331" s="1" t="n">
        <x:v>42.06</x:v>
      </x:c>
      <x:c r="L331" s="1" t="n">
        <x:v>0</x:v>
      </x:c>
      <x:c r="M331" s="1" t="n">
        <x:v>292</x:v>
      </x:c>
      <x:c r="N331" s="1"/>
      <x:c r="O331" s="1"/>
      <x:c r="P331" s="1"/>
      <x:c r="Q331" s="1"/>
    </x:row>
    <x:row r="332" ht="22" customHeight="1">
      <x:c r="A332" s="1" t="str">
        <x:v>O0327</x:v>
      </x:c>
      <x:c r="B332" s="1" t="str">
        <x:v>Simulated Bhubaneswar Management Institute 327</x:v>
      </x:c>
      <x:c r="C332" s="1" t="str">
        <x:v>East</x:v>
      </x:c>
      <x:c r="D332" s="1" t="str">
        <x:v>Initial Contact</x:v>
      </x:c>
      <x:c r="E332" s="1" t="str">
        <x:v>Open</x:v>
      </x:c>
      <x:c r="F332" s="7" t="n">
        <x:v>100000</x:v>
      </x:c>
      <x:c r="G332" s="8" t="d">
        <x:v>2026-08-06T00:00:00.000Z</x:v>
      </x:c>
      <x:c r="H332" s="8" t="d">
        <x:v>2026-12-17T00:00:00.000Z</x:v>
      </x:c>
      <x:c r="I332" s="8"/>
      <x:c r="J332" s="7" t="n">
        <x:v>0</x:v>
      </x:c>
      <x:c r="K332" s="1" t="n">
        <x:v>28.5</x:v>
      </x:c>
      <x:c r="L332" s="1" t="n">
        <x:v>1</x:v>
      </x:c>
      <x:c r="M332" s="1" t="n">
        <x:v>20</x:v>
      </x:c>
      <x:c r="N332" s="1"/>
      <x:c r="O332" s="1"/>
      <x:c r="P332" s="1"/>
      <x:c r="Q332" s="1"/>
    </x:row>
    <x:row r="333" ht="22" customHeight="1">
      <x:c r="A333" s="1" t="str">
        <x:v>O0328</x:v>
      </x:c>
      <x:c r="B333" s="1" t="str">
        <x:v>Simulated Patna Arts and Science College 328</x:v>
      </x:c>
      <x:c r="C333" s="1" t="str">
        <x:v>East</x:v>
      </x:c>
      <x:c r="D333" s="1" t="str">
        <x:v>Initial Contact</x:v>
      </x:c>
      <x:c r="E333" s="1" t="str">
        <x:v>Open</x:v>
      </x:c>
      <x:c r="F333" s="7" t="n">
        <x:v>214000</x:v>
      </x:c>
      <x:c r="G333" s="8" t="d">
        <x:v>2025-11-02T00:00:00.000Z</x:v>
      </x:c>
      <x:c r="H333" s="8" t="d">
        <x:v>2026-03-19T00:00:00.000Z</x:v>
      </x:c>
      <x:c r="I333" s="8"/>
      <x:c r="J333" s="7" t="n">
        <x:v>0</x:v>
      </x:c>
      <x:c r="K333" s="1" t="n">
        <x:v>46.27</x:v>
      </x:c>
      <x:c r="L333" s="1" t="n">
        <x:v>1</x:v>
      </x:c>
      <x:c r="M333" s="1" t="n">
        <x:v>302</x:v>
      </x:c>
      <x:c r="N333" s="1"/>
      <x:c r="O333" s="1"/>
      <x:c r="P333" s="1"/>
      <x:c r="Q333" s="1"/>
    </x:row>
    <x:row r="334" ht="22" customHeight="1">
      <x:c r="A334" s="1" t="str">
        <x:v>O0329</x:v>
      </x:c>
      <x:c r="B334" s="1" t="str">
        <x:v>Simulated Guwahati Engineering College 329</x:v>
      </x:c>
      <x:c r="C334" s="1" t="str">
        <x:v>Northeast</x:v>
      </x:c>
      <x:c r="D334" s="1" t="str">
        <x:v>Negotiation</x:v>
      </x:c>
      <x:c r="E334" s="1" t="str">
        <x:v>Open</x:v>
      </x:c>
      <x:c r="F334" s="7" t="n">
        <x:v>178000</x:v>
      </x:c>
      <x:c r="G334" s="8" t="d">
        <x:v>2026-04-07T00:00:00.000Z</x:v>
      </x:c>
      <x:c r="H334" s="8" t="d">
        <x:v>2026-07-01T00:00:00.000Z</x:v>
      </x:c>
      <x:c r="I334" s="8"/>
      <x:c r="J334" s="7" t="n">
        <x:v>0</x:v>
      </x:c>
      <x:c r="K334" s="1" t="n">
        <x:v>55.47</x:v>
      </x:c>
      <x:c r="L334" s="1" t="n">
        <x:v>1</x:v>
      </x:c>
      <x:c r="M334" s="1" t="n">
        <x:v>70</x:v>
      </x:c>
      <x:c r="N334" s="1"/>
      <x:c r="O334" s="1"/>
      <x:c r="P334" s="1"/>
      <x:c r="Q334" s="1"/>
    </x:row>
    <x:row r="335" ht="22" customHeight="1">
      <x:c r="A335" s="1" t="str">
        <x:v>O0330</x:v>
      </x:c>
      <x:c r="B335" s="1" t="str">
        <x:v>Simulated Indore Management Institute 330</x:v>
      </x:c>
      <x:c r="C335" s="1" t="str">
        <x:v>Central</x:v>
      </x:c>
      <x:c r="D335" s="1" t="str">
        <x:v>Prospect Identified</x:v>
      </x:c>
      <x:c r="E335" s="1" t="str">
        <x:v>Open</x:v>
      </x:c>
      <x:c r="F335" s="7" t="n">
        <x:v>377000</x:v>
      </x:c>
      <x:c r="G335" s="8" t="d">
        <x:v>2026-02-07T00:00:00.000Z</x:v>
      </x:c>
      <x:c r="H335" s="8" t="d">
        <x:v>2026-06-12T00:00:00.000Z</x:v>
      </x:c>
      <x:c r="I335" s="8"/>
      <x:c r="J335" s="7" t="n">
        <x:v>0</x:v>
      </x:c>
      <x:c r="K335" s="1" t="n">
        <x:v>38.22</x:v>
      </x:c>
      <x:c r="L335" s="1" t="n">
        <x:v>1</x:v>
      </x:c>
      <x:c r="M335" s="1" t="n">
        <x:v>235</x:v>
      </x:c>
      <x:c r="N335" s="1"/>
      <x:c r="O335" s="1"/>
      <x:c r="P335" s="1"/>
      <x:c r="Q335" s="1"/>
    </x:row>
    <x:row r="336" ht="22" customHeight="1">
      <x:c r="A336" s="1" t="str">
        <x:v>O0331</x:v>
      </x:c>
      <x:c r="B336" s="1" t="str">
        <x:v>Simulated New Delhi University 331</x:v>
      </x:c>
      <x:c r="C336" s="1" t="str">
        <x:v>North</x:v>
      </x:c>
      <x:c r="D336" s="1" t="str">
        <x:v>Prospect Identified</x:v>
      </x:c>
      <x:c r="E336" s="1" t="str">
        <x:v>Open</x:v>
      </x:c>
      <x:c r="F336" s="7" t="n">
        <x:v>270000</x:v>
      </x:c>
      <x:c r="G336" s="8" t="d">
        <x:v>2026-03-18T00:00:00.000Z</x:v>
      </x:c>
      <x:c r="H336" s="8" t="d">
        <x:v>2026-07-25T00:00:00.000Z</x:v>
      </x:c>
      <x:c r="I336" s="8"/>
      <x:c r="J336" s="7" t="n">
        <x:v>0</x:v>
      </x:c>
      <x:c r="K336" s="1" t="n">
        <x:v>55.58</x:v>
      </x:c>
      <x:c r="L336" s="1" t="n">
        <x:v>0</x:v>
      </x:c>
      <x:c r="M336" s="1" t="n">
        <x:v>196</x:v>
      </x:c>
      <x:c r="N336" s="1"/>
      <x:c r="O336" s="1"/>
      <x:c r="P336" s="1"/>
      <x:c r="Q336" s="1"/>
    </x:row>
    <x:row r="337" ht="22" customHeight="1">
      <x:c r="A337" s="1" t="str">
        <x:v>O0332</x:v>
      </x:c>
      <x:c r="B337" s="1" t="str">
        <x:v>Simulated Noida Arts and Science College 332</x:v>
      </x:c>
      <x:c r="C337" s="1" t="str">
        <x:v>North</x:v>
      </x:c>
      <x:c r="D337" s="1" t="str">
        <x:v>Closed Lost</x:v>
      </x:c>
      <x:c r="E337" s="1" t="str">
        <x:v>Lost</x:v>
      </x:c>
      <x:c r="F337" s="7" t="n">
        <x:v>343000</x:v>
      </x:c>
      <x:c r="G337" s="8" t="d">
        <x:v>2025-11-30T00:00:00.000Z</x:v>
      </x:c>
      <x:c r="H337" s="8" t="d">
        <x:v>2026-02-18T00:00:00.000Z</x:v>
      </x:c>
      <x:c r="I337" s="8" t="d">
        <x:v>2025-12-15T00:00:00.000Z</x:v>
      </x:c>
      <x:c r="J337" s="7" t="n">
        <x:v>0</x:v>
      </x:c>
      <x:c r="K337" s="1" t="n">
        <x:v>0</x:v>
      </x:c>
      <x:c r="L337" s="1" t="n">
        <x:v>0</x:v>
      </x:c>
      <x:c r="M337" s="1" t="n">
        <x:v>289</x:v>
      </x:c>
      <x:c r="N337" s="1"/>
      <x:c r="O337" s="1"/>
      <x:c r="P337" s="1"/>
      <x:c r="Q337" s="1"/>
    </x:row>
    <x:row r="338" ht="22" customHeight="1">
      <x:c r="A338" s="1" t="str">
        <x:v>O0333</x:v>
      </x:c>
      <x:c r="B338" s="1" t="str">
        <x:v>Simulated Gurugram Management Institute 333</x:v>
      </x:c>
      <x:c r="C338" s="1" t="str">
        <x:v>North</x:v>
      </x:c>
      <x:c r="D338" s="1" t="str">
        <x:v>Qualified</x:v>
      </x:c>
      <x:c r="E338" s="1" t="str">
        <x:v>Open</x:v>
      </x:c>
      <x:c r="F338" s="7" t="n">
        <x:v>260000</x:v>
      </x:c>
      <x:c r="G338" s="8" t="d">
        <x:v>2025-12-09T00:00:00.000Z</x:v>
      </x:c>
      <x:c r="H338" s="8" t="d">
        <x:v>2026-03-05T00:00:00.000Z</x:v>
      </x:c>
      <x:c r="I338" s="8"/>
      <x:c r="J338" s="7" t="n">
        <x:v>0</x:v>
      </x:c>
      <x:c r="K338" s="1" t="n">
        <x:v>45.68</x:v>
      </x:c>
      <x:c r="L338" s="1" t="n">
        <x:v>1</x:v>
      </x:c>
      <x:c r="M338" s="1" t="n">
        <x:v>273</x:v>
      </x:c>
      <x:c r="N338" s="1"/>
      <x:c r="O338" s="1"/>
      <x:c r="P338" s="1"/>
      <x:c r="Q338" s="1"/>
    </x:row>
    <x:row r="339" ht="22" customHeight="1">
      <x:c r="A339" s="1" t="str">
        <x:v>O0334</x:v>
      </x:c>
      <x:c r="B339" s="1" t="str">
        <x:v>Simulated Ludhiana University 334</x:v>
      </x:c>
      <x:c r="C339" s="1" t="str">
        <x:v>North</x:v>
      </x:c>
      <x:c r="D339" s="1" t="str">
        <x:v>Negotiation</x:v>
      </x:c>
      <x:c r="E339" s="1" t="str">
        <x:v>Open</x:v>
      </x:c>
      <x:c r="F339" s="7" t="n">
        <x:v>224000</x:v>
      </x:c>
      <x:c r="G339" s="8" t="d">
        <x:v>2026-03-27T00:00:00.000Z</x:v>
      </x:c>
      <x:c r="H339" s="8" t="d">
        <x:v>2026-06-23T00:00:00.000Z</x:v>
      </x:c>
      <x:c r="I339" s="8"/>
      <x:c r="J339" s="7" t="n">
        <x:v>0</x:v>
      </x:c>
      <x:c r="K339" s="1" t="n">
        <x:v>49.84</x:v>
      </x:c>
      <x:c r="L339" s="1" t="n">
        <x:v>1</x:v>
      </x:c>
      <x:c r="M339" s="1" t="n">
        <x:v>53</x:v>
      </x:c>
      <x:c r="N339" s="1"/>
      <x:c r="O339" s="1"/>
      <x:c r="P339" s="1"/>
      <x:c r="Q339" s="1"/>
    </x:row>
    <x:row r="340" ht="22" customHeight="1">
      <x:c r="A340" s="1" t="str">
        <x:v>O0335</x:v>
      </x:c>
      <x:c r="B340" s="1" t="str">
        <x:v>Simulated Pune Engineering College 335</x:v>
      </x:c>
      <x:c r="C340" s="1" t="str">
        <x:v>West</x:v>
      </x:c>
      <x:c r="D340" s="1" t="str">
        <x:v>Closed Lost</x:v>
      </x:c>
      <x:c r="E340" s="1" t="str">
        <x:v>Lost</x:v>
      </x:c>
      <x:c r="F340" s="7" t="n">
        <x:v>348000</x:v>
      </x:c>
      <x:c r="G340" s="8" t="d">
        <x:v>2026-06-04T00:00:00.000Z</x:v>
      </x:c>
      <x:c r="H340" s="8" t="d">
        <x:v>2026-08-30T00:00:00.000Z</x:v>
      </x:c>
      <x:c r="I340" s="8" t="d">
        <x:v>2026-07-19T00:00:00.000Z</x:v>
      </x:c>
      <x:c r="J340" s="7" t="n">
        <x:v>0</x:v>
      </x:c>
      <x:c r="K340" s="1" t="n">
        <x:v>0</x:v>
      </x:c>
      <x:c r="L340" s="1" t="n">
        <x:v>0</x:v>
      </x:c>
      <x:c r="M340" s="1" t="n">
        <x:v>73</x:v>
      </x:c>
      <x:c r="N340" s="1"/>
      <x:c r="O340" s="1"/>
      <x:c r="P340" s="1"/>
      <x:c r="Q340" s="1"/>
    </x:row>
    <x:row r="341" ht="22" customHeight="1">
      <x:c r="A341" s="1" t="str">
        <x:v>O0336</x:v>
      </x:c>
      <x:c r="B341" s="1" t="str">
        <x:v>Simulated Ahmedabad Arts and Science College 336</x:v>
      </x:c>
      <x:c r="C341" s="1" t="str">
        <x:v>West</x:v>
      </x:c>
      <x:c r="D341" s="1" t="str">
        <x:v>Proposal Sent</x:v>
      </x:c>
      <x:c r="E341" s="1" t="str">
        <x:v>Open</x:v>
      </x:c>
      <x:c r="F341" s="7" t="n">
        <x:v>220000</x:v>
      </x:c>
      <x:c r="G341" s="8" t="d">
        <x:v>2026-02-11T00:00:00.000Z</x:v>
      </x:c>
      <x:c r="H341" s="8" t="d">
        <x:v>2026-06-09T00:00:00.000Z</x:v>
      </x:c>
      <x:c r="I341" s="8"/>
      <x:c r="J341" s="7" t="n">
        <x:v>0</x:v>
      </x:c>
      <x:c r="K341" s="1" t="n">
        <x:v>36.91</x:v>
      </x:c>
      <x:c r="L341" s="1" t="n">
        <x:v>1</x:v>
      </x:c>
      <x:c r="M341" s="1" t="n">
        <x:v>159</x:v>
      </x:c>
      <x:c r="N341" s="1"/>
      <x:c r="O341" s="1"/>
      <x:c r="P341" s="1"/>
      <x:c r="Q341" s="1"/>
    </x:row>
    <x:row r="342" ht="22" customHeight="1">
      <x:c r="A342" s="1" t="str">
        <x:v>O0337</x:v>
      </x:c>
      <x:c r="B342" s="1" t="str">
        <x:v>Simulated Jaipur Engineering College 337</x:v>
      </x:c>
      <x:c r="C342" s="1" t="str">
        <x:v>West</x:v>
      </x:c>
      <x:c r="D342" s="1" t="str">
        <x:v>Proposal Sent</x:v>
      </x:c>
      <x:c r="E342" s="1" t="str">
        <x:v>Open</x:v>
      </x:c>
      <x:c r="F342" s="7" t="n">
        <x:v>287000</x:v>
      </x:c>
      <x:c r="G342" s="8" t="d">
        <x:v>2025-12-16T00:00:00.000Z</x:v>
      </x:c>
      <x:c r="H342" s="8" t="d">
        <x:v>2026-05-03T00:00:00.000Z</x:v>
      </x:c>
      <x:c r="I342" s="8"/>
      <x:c r="J342" s="7" t="n">
        <x:v>0</x:v>
      </x:c>
      <x:c r="K342" s="1" t="n">
        <x:v>51.07</x:v>
      </x:c>
      <x:c r="L342" s="1" t="n">
        <x:v>1</x:v>
      </x:c>
      <x:c r="M342" s="1" t="n">
        <x:v>197</x:v>
      </x:c>
      <x:c r="N342" s="1"/>
      <x:c r="O342" s="1"/>
      <x:c r="P342" s="1"/>
      <x:c r="Q342" s="1"/>
    </x:row>
    <x:row r="343" ht="22" customHeight="1">
      <x:c r="A343" s="1" t="str">
        <x:v>O0338</x:v>
      </x:c>
      <x:c r="B343" s="1" t="str">
        <x:v>Simulated Bengaluru Engineering College 338</x:v>
      </x:c>
      <x:c r="C343" s="1" t="str">
        <x:v>South</x:v>
      </x:c>
      <x:c r="D343" s="1" t="str">
        <x:v>Qualified</x:v>
      </x:c>
      <x:c r="E343" s="1" t="str">
        <x:v>Open</x:v>
      </x:c>
      <x:c r="F343" s="7" t="n">
        <x:v>243000</x:v>
      </x:c>
      <x:c r="G343" s="8" t="d">
        <x:v>2026-03-30T00:00:00.000Z</x:v>
      </x:c>
      <x:c r="H343" s="8" t="d">
        <x:v>2026-07-30T00:00:00.000Z</x:v>
      </x:c>
      <x:c r="I343" s="8"/>
      <x:c r="J343" s="7" t="n">
        <x:v>0</x:v>
      </x:c>
      <x:c r="K343" s="1" t="n">
        <x:v>52.69</x:v>
      </x:c>
      <x:c r="L343" s="1" t="n">
        <x:v>0</x:v>
      </x:c>
      <x:c r="M343" s="1" t="n">
        <x:v>152</x:v>
      </x:c>
      <x:c r="N343" s="1"/>
      <x:c r="O343" s="1"/>
      <x:c r="P343" s="1"/>
      <x:c r="Q343" s="1"/>
    </x:row>
    <x:row r="344" ht="22" customHeight="1">
      <x:c r="A344" s="1" t="str">
        <x:v>O0339</x:v>
      </x:c>
      <x:c r="B344" s="1" t="str">
        <x:v>Simulated Chennai Engineering College 339</x:v>
      </x:c>
      <x:c r="C344" s="1" t="str">
        <x:v>South</x:v>
      </x:c>
      <x:c r="D344" s="1" t="str">
        <x:v>Closed Lost</x:v>
      </x:c>
      <x:c r="E344" s="1" t="str">
        <x:v>Lost</x:v>
      </x:c>
      <x:c r="F344" s="7" t="n">
        <x:v>182000</x:v>
      </x:c>
      <x:c r="G344" s="8" t="d">
        <x:v>2026-02-26T00:00:00.000Z</x:v>
      </x:c>
      <x:c r="H344" s="8" t="d">
        <x:v>2026-06-14T00:00:00.000Z</x:v>
      </x:c>
      <x:c r="I344" s="8" t="d">
        <x:v>2026-05-29T00:00:00.000Z</x:v>
      </x:c>
      <x:c r="J344" s="7" t="n">
        <x:v>0</x:v>
      </x:c>
      <x:c r="K344" s="1" t="n">
        <x:v>0</x:v>
      </x:c>
      <x:c r="L344" s="1" t="n">
        <x:v>0</x:v>
      </x:c>
      <x:c r="M344" s="1" t="n">
        <x:v>124</x:v>
      </x:c>
      <x:c r="N344" s="1"/>
      <x:c r="O344" s="1"/>
      <x:c r="P344" s="1"/>
      <x:c r="Q344" s="1"/>
    </x:row>
    <x:row r="345" ht="22" customHeight="1">
      <x:c r="A345" s="1" t="str">
        <x:v>O0340</x:v>
      </x:c>
      <x:c r="B345" s="1" t="str">
        <x:v>Simulated Hyderabad University 340</x:v>
      </x:c>
      <x:c r="C345" s="1" t="str">
        <x:v>South</x:v>
      </x:c>
      <x:c r="D345" s="1" t="str">
        <x:v>Proposal Sent</x:v>
      </x:c>
      <x:c r="E345" s="1" t="str">
        <x:v>Open</x:v>
      </x:c>
      <x:c r="F345" s="7" t="n">
        <x:v>1209000</x:v>
      </x:c>
      <x:c r="G345" s="8" t="d">
        <x:v>2025-10-06T00:00:00.000Z</x:v>
      </x:c>
      <x:c r="H345" s="8" t="d">
        <x:v>2026-02-04T00:00:00.000Z</x:v>
      </x:c>
      <x:c r="I345" s="8"/>
      <x:c r="J345" s="7" t="n">
        <x:v>0</x:v>
      </x:c>
      <x:c r="K345" s="1" t="n">
        <x:v>70.02</x:v>
      </x:c>
      <x:c r="L345" s="1" t="n">
        <x:v>1</x:v>
      </x:c>
      <x:c r="M345" s="1" t="n">
        <x:v>270</x:v>
      </x:c>
      <x:c r="N345" s="1"/>
      <x:c r="O345" s="1"/>
      <x:c r="P345" s="1"/>
      <x:c r="Q345" s="1"/>
    </x:row>
    <x:row r="346" ht="22" customHeight="1">
      <x:c r="A346" s="1" t="str">
        <x:v>O0341</x:v>
      </x:c>
      <x:c r="B346" s="1" t="str">
        <x:v>Simulated Kolkata University 341</x:v>
      </x:c>
      <x:c r="C346" s="1" t="str">
        <x:v>East</x:v>
      </x:c>
      <x:c r="D346" s="1" t="str">
        <x:v>Closed Won</x:v>
      </x:c>
      <x:c r="E346" s="1" t="str">
        <x:v>Won</x:v>
      </x:c>
      <x:c r="F346" s="7" t="n">
        <x:v>650000</x:v>
      </x:c>
      <x:c r="G346" s="8" t="d">
        <x:v>2026-04-08T00:00:00.000Z</x:v>
      </x:c>
      <x:c r="H346" s="8" t="d">
        <x:v>2026-07-09T00:00:00.000Z</x:v>
      </x:c>
      <x:c r="I346" s="8" t="d">
        <x:v>2026-07-16T00:00:00.000Z</x:v>
      </x:c>
      <x:c r="J346" s="7" t="n">
        <x:v>137123.29</x:v>
      </x:c>
      <x:c r="K346" s="1" t="n">
        <x:v>0</x:v>
      </x:c>
      <x:c r="L346" s="1" t="n">
        <x:v>0</x:v>
      </x:c>
      <x:c r="M346" s="1" t="n">
        <x:v>76</x:v>
      </x:c>
      <x:c r="N346" s="1"/>
      <x:c r="O346" s="1"/>
      <x:c r="P346" s="1"/>
      <x:c r="Q346" s="1"/>
    </x:row>
    <x:row r="347" ht="22" customHeight="1">
      <x:c r="A347" s="1" t="str">
        <x:v>O0342</x:v>
      </x:c>
      <x:c r="B347" s="1" t="str">
        <x:v>Simulated Bhubaneswar Arts and Science College 342</x:v>
      </x:c>
      <x:c r="C347" s="1" t="str">
        <x:v>East</x:v>
      </x:c>
      <x:c r="D347" s="1" t="str">
        <x:v>Proposal Sent</x:v>
      </x:c>
      <x:c r="E347" s="1" t="str">
        <x:v>Open</x:v>
      </x:c>
      <x:c r="F347" s="7" t="n">
        <x:v>175000</x:v>
      </x:c>
      <x:c r="G347" s="8" t="d">
        <x:v>2026-06-01T00:00:00.000Z</x:v>
      </x:c>
      <x:c r="H347" s="8" t="d">
        <x:v>2026-10-26T00:00:00.000Z</x:v>
      </x:c>
      <x:c r="I347" s="8"/>
      <x:c r="J347" s="7" t="n">
        <x:v>0</x:v>
      </x:c>
      <x:c r="K347" s="1" t="n">
        <x:v>53.75</x:v>
      </x:c>
      <x:c r="L347" s="1" t="n">
        <x:v>1</x:v>
      </x:c>
      <x:c r="M347" s="1" t="n">
        <x:v>74</x:v>
      </x:c>
      <x:c r="N347" s="1"/>
      <x:c r="O347" s="1"/>
      <x:c r="P347" s="1"/>
      <x:c r="Q347" s="1"/>
    </x:row>
    <x:row r="348" ht="22" customHeight="1">
      <x:c r="A348" s="1" t="str">
        <x:v>O0343</x:v>
      </x:c>
      <x:c r="B348" s="1" t="str">
        <x:v>Simulated Patna Arts and Science College 343</x:v>
      </x:c>
      <x:c r="C348" s="1" t="str">
        <x:v>East</x:v>
      </x:c>
      <x:c r="D348" s="1" t="str">
        <x:v>Qualified</x:v>
      </x:c>
      <x:c r="E348" s="1" t="str">
        <x:v>Open</x:v>
      </x:c>
      <x:c r="F348" s="7" t="n">
        <x:v>353000</x:v>
      </x:c>
      <x:c r="G348" s="8" t="d">
        <x:v>2026-09-04T00:00:00.000Z</x:v>
      </x:c>
      <x:c r="H348" s="8" t="d">
        <x:v>2026-12-29T00:00:00.000Z</x:v>
      </x:c>
      <x:c r="I348" s="8"/>
      <x:c r="J348" s="7" t="n">
        <x:v>0</x:v>
      </x:c>
      <x:c r="K348" s="1" t="n">
        <x:v>54.2</x:v>
      </x:c>
      <x:c r="L348" s="1" t="n">
        <x:v>0</x:v>
      </x:c>
      <x:c r="M348" s="1" t="n">
        <x:v>2</x:v>
      </x:c>
      <x:c r="N348" s="1"/>
      <x:c r="O348" s="1"/>
      <x:c r="P348" s="1"/>
      <x:c r="Q348" s="1"/>
    </x:row>
    <x:row r="349" ht="22" customHeight="1">
      <x:c r="A349" s="1" t="str">
        <x:v>O0344</x:v>
      </x:c>
      <x:c r="B349" s="1" t="str">
        <x:v>Simulated Guwahati University 344</x:v>
      </x:c>
      <x:c r="C349" s="1" t="str">
        <x:v>Northeast</x:v>
      </x:c>
      <x:c r="D349" s="1" t="str">
        <x:v>Closed Lost</x:v>
      </x:c>
      <x:c r="E349" s="1" t="str">
        <x:v>Lost</x:v>
      </x:c>
      <x:c r="F349" s="7" t="n">
        <x:v>403000</x:v>
      </x:c>
      <x:c r="G349" s="8" t="d">
        <x:v>2026-05-17T00:00:00.000Z</x:v>
      </x:c>
      <x:c r="H349" s="8" t="d">
        <x:v>2026-09-01T00:00:00.000Z</x:v>
      </x:c>
      <x:c r="I349" s="8" t="d">
        <x:v>2026-06-08T00:00:00.000Z</x:v>
      </x:c>
      <x:c r="J349" s="7" t="n">
        <x:v>0</x:v>
      </x:c>
      <x:c r="K349" s="1" t="n">
        <x:v>0</x:v>
      </x:c>
      <x:c r="L349" s="1" t="n">
        <x:v>0</x:v>
      </x:c>
      <x:c r="M349" s="1" t="n">
        <x:v>114</x:v>
      </x:c>
      <x:c r="N349" s="1"/>
      <x:c r="O349" s="1"/>
      <x:c r="P349" s="1"/>
      <x:c r="Q349" s="1"/>
    </x:row>
    <x:row r="350" ht="22" customHeight="1">
      <x:c r="A350" s="1" t="str">
        <x:v>O0345</x:v>
      </x:c>
      <x:c r="B350" s="1" t="str">
        <x:v>Simulated Indore Engineering College 345</x:v>
      </x:c>
      <x:c r="C350" s="1" t="str">
        <x:v>Central</x:v>
      </x:c>
      <x:c r="D350" s="1" t="str">
        <x:v>Prospect Identified</x:v>
      </x:c>
      <x:c r="E350" s="1" t="str">
        <x:v>Open</x:v>
      </x:c>
      <x:c r="F350" s="7" t="n">
        <x:v>241000</x:v>
      </x:c>
      <x:c r="G350" s="8" t="d">
        <x:v>2026-04-20T00:00:00.000Z</x:v>
      </x:c>
      <x:c r="H350" s="8" t="d">
        <x:v>2026-08-09T00:00:00.000Z</x:v>
      </x:c>
      <x:c r="I350" s="8"/>
      <x:c r="J350" s="7" t="n">
        <x:v>0</x:v>
      </x:c>
      <x:c r="K350" s="1" t="n">
        <x:v>48.85</x:v>
      </x:c>
      <x:c r="L350" s="1" t="n">
        <x:v>1</x:v>
      </x:c>
      <x:c r="M350" s="1" t="n">
        <x:v>163</x:v>
      </x:c>
      <x:c r="N350" s="1"/>
      <x:c r="O350" s="1"/>
      <x:c r="P350" s="1"/>
      <x:c r="Q350" s="1"/>
    </x:row>
    <x:row r="351" ht="22" customHeight="1">
      <x:c r="A351" s="1" t="str">
        <x:v>O0346</x:v>
      </x:c>
      <x:c r="B351" s="1" t="str">
        <x:v>Simulated New Delhi Management Institute 346</x:v>
      </x:c>
      <x:c r="C351" s="1" t="str">
        <x:v>North</x:v>
      </x:c>
      <x:c r="D351" s="1" t="str">
        <x:v>Proposal Sent</x:v>
      </x:c>
      <x:c r="E351" s="1" t="str">
        <x:v>Open</x:v>
      </x:c>
      <x:c r="F351" s="7" t="n">
        <x:v>266000</x:v>
      </x:c>
      <x:c r="G351" s="8" t="d">
        <x:v>2026-03-28T00:00:00.000Z</x:v>
      </x:c>
      <x:c r="H351" s="8" t="d">
        <x:v>2026-06-30T00:00:00.000Z</x:v>
      </x:c>
      <x:c r="I351" s="8"/>
      <x:c r="J351" s="7" t="n">
        <x:v>0</x:v>
      </x:c>
      <x:c r="K351" s="1" t="n">
        <x:v>52.38</x:v>
      </x:c>
      <x:c r="L351" s="1" t="n">
        <x:v>1</x:v>
      </x:c>
      <x:c r="M351" s="1" t="n">
        <x:v>112</x:v>
      </x:c>
      <x:c r="N351" s="1"/>
      <x:c r="O351" s="1"/>
      <x:c r="P351" s="1"/>
      <x:c r="Q351" s="1"/>
    </x:row>
    <x:row r="352" ht="22" customHeight="1">
      <x:c r="A352" s="1" t="str">
        <x:v>O0347</x:v>
      </x:c>
      <x:c r="B352" s="1" t="str">
        <x:v>Simulated Noida University 347</x:v>
      </x:c>
      <x:c r="C352" s="1" t="str">
        <x:v>North</x:v>
      </x:c>
      <x:c r="D352" s="1" t="str">
        <x:v>Initial Contact</x:v>
      </x:c>
      <x:c r="E352" s="1" t="str">
        <x:v>Open</x:v>
      </x:c>
      <x:c r="F352" s="7" t="n">
        <x:v>1003000</x:v>
      </x:c>
      <x:c r="G352" s="8" t="d">
        <x:v>2026-01-14T00:00:00.000Z</x:v>
      </x:c>
      <x:c r="H352" s="8" t="d">
        <x:v>2026-04-25T00:00:00.000Z</x:v>
      </x:c>
      <x:c r="I352" s="8"/>
      <x:c r="J352" s="7" t="n">
        <x:v>0</x:v>
      </x:c>
      <x:c r="K352" s="1" t="n">
        <x:v>67.71</x:v>
      </x:c>
      <x:c r="L352" s="1" t="n">
        <x:v>1</x:v>
      </x:c>
      <x:c r="M352" s="1" t="n">
        <x:v>245</x:v>
      </x:c>
      <x:c r="N352" s="1"/>
      <x:c r="O352" s="1"/>
      <x:c r="P352" s="1"/>
      <x:c r="Q352" s="1"/>
    </x:row>
    <x:row r="353" ht="22" customHeight="1">
      <x:c r="A353" s="1" t="str">
        <x:v>O0348</x:v>
      </x:c>
      <x:c r="B353" s="1" t="str">
        <x:v>Simulated Gurugram Arts and Science College 348</x:v>
      </x:c>
      <x:c r="C353" s="1" t="str">
        <x:v>North</x:v>
      </x:c>
      <x:c r="D353" s="1" t="str">
        <x:v>Initial Contact</x:v>
      </x:c>
      <x:c r="E353" s="1" t="str">
        <x:v>Open</x:v>
      </x:c>
      <x:c r="F353" s="7" t="n">
        <x:v>121000</x:v>
      </x:c>
      <x:c r="G353" s="8" t="d">
        <x:v>2025-11-01T00:00:00.000Z</x:v>
      </x:c>
      <x:c r="H353" s="8" t="d">
        <x:v>2026-02-27T00:00:00.000Z</x:v>
      </x:c>
      <x:c r="I353" s="8"/>
      <x:c r="J353" s="7" t="n">
        <x:v>0</x:v>
      </x:c>
      <x:c r="K353" s="1" t="n">
        <x:v>25.72</x:v>
      </x:c>
      <x:c r="L353" s="1" t="n">
        <x:v>1</x:v>
      </x:c>
      <x:c r="M353" s="1" t="n">
        <x:v>322</x:v>
      </x:c>
      <x:c r="N353" s="1"/>
      <x:c r="O353" s="1"/>
      <x:c r="P353" s="1"/>
      <x:c r="Q353" s="1"/>
    </x:row>
    <x:row r="354" ht="22" customHeight="1">
      <x:c r="A354" s="1" t="str">
        <x:v>O0349</x:v>
      </x:c>
      <x:c r="B354" s="1" t="str">
        <x:v>Simulated Ludhiana University 349</x:v>
      </x:c>
      <x:c r="C354" s="1" t="str">
        <x:v>North</x:v>
      </x:c>
      <x:c r="D354" s="1" t="str">
        <x:v>Prospect Identified</x:v>
      </x:c>
      <x:c r="E354" s="1" t="str">
        <x:v>Open</x:v>
      </x:c>
      <x:c r="F354" s="7" t="n">
        <x:v>1119000</x:v>
      </x:c>
      <x:c r="G354" s="8" t="d">
        <x:v>2026-01-04T00:00:00.000Z</x:v>
      </x:c>
      <x:c r="H354" s="8" t="d">
        <x:v>2026-05-10T00:00:00.000Z</x:v>
      </x:c>
      <x:c r="I354" s="8"/>
      <x:c r="J354" s="7" t="n">
        <x:v>0</x:v>
      </x:c>
      <x:c r="K354" s="1" t="n">
        <x:v>69.54</x:v>
      </x:c>
      <x:c r="L354" s="1" t="n">
        <x:v>1</x:v>
      </x:c>
      <x:c r="M354" s="1" t="n">
        <x:v>269</x:v>
      </x:c>
      <x:c r="N354" s="1"/>
      <x:c r="O354" s="1"/>
      <x:c r="P354" s="1"/>
      <x:c r="Q354" s="1"/>
    </x:row>
    <x:row r="355" ht="22" customHeight="1">
      <x:c r="A355" s="1" t="str">
        <x:v>O0350</x:v>
      </x:c>
      <x:c r="B355" s="1" t="str">
        <x:v>Simulated Pune University 350</x:v>
      </x:c>
      <x:c r="C355" s="1" t="str">
        <x:v>West</x:v>
      </x:c>
      <x:c r="D355" s="1" t="str">
        <x:v>Prospect Identified</x:v>
      </x:c>
      <x:c r="E355" s="1" t="str">
        <x:v>Open</x:v>
      </x:c>
      <x:c r="F355" s="7" t="n">
        <x:v>153000</x:v>
      </x:c>
      <x:c r="G355" s="8" t="d">
        <x:v>2026-09-23T00:00:00.000Z</x:v>
      </x:c>
      <x:c r="H355" s="8" t="d">
        <x:v>2027-01-04T00:00:00.000Z</x:v>
      </x:c>
      <x:c r="I355" s="8"/>
      <x:c r="J355" s="7" t="n">
        <x:v>0</x:v>
      </x:c>
      <x:c r="K355" s="1" t="n">
        <x:v>42.31</x:v>
      </x:c>
      <x:c r="L355" s="1" t="n">
        <x:v>0</x:v>
      </x:c>
      <x:c r="M355" s="1" t="n">
        <x:v>7</x:v>
      </x:c>
      <x:c r="N355" s="1"/>
      <x:c r="O355" s="1"/>
      <x:c r="P355" s="1"/>
      <x:c r="Q355" s="1"/>
    </x:row>
    <x:row r="356" ht="22" customHeight="1">
      <x:c r="A356" s="1" t="str">
        <x:v>O0351</x:v>
      </x:c>
      <x:c r="B356" s="1" t="str">
        <x:v>Simulated Ahmedabad University 351</x:v>
      </x:c>
      <x:c r="C356" s="1" t="str">
        <x:v>West</x:v>
      </x:c>
      <x:c r="D356" s="1" t="str">
        <x:v>Meeting Scheduled</x:v>
      </x:c>
      <x:c r="E356" s="1" t="str">
        <x:v>Open</x:v>
      </x:c>
      <x:c r="F356" s="7" t="n">
        <x:v>789000</x:v>
      </x:c>
      <x:c r="G356" s="8" t="d">
        <x:v>2026-04-30T00:00:00.000Z</x:v>
      </x:c>
      <x:c r="H356" s="8" t="d">
        <x:v>2026-08-05T00:00:00.000Z</x:v>
      </x:c>
      <x:c r="I356" s="8"/>
      <x:c r="J356" s="7" t="n">
        <x:v>0</x:v>
      </x:c>
      <x:c r="K356" s="1" t="n">
        <x:v>55.4</x:v>
      </x:c>
      <x:c r="L356" s="1" t="n">
        <x:v>1</x:v>
      </x:c>
      <x:c r="M356" s="1" t="n">
        <x:v>105</x:v>
      </x:c>
      <x:c r="N356" s="1"/>
      <x:c r="O356" s="1"/>
      <x:c r="P356" s="1"/>
      <x:c r="Q356" s="1"/>
    </x:row>
    <x:row r="357" ht="22" customHeight="1">
      <x:c r="A357" s="1" t="str">
        <x:v>O0352</x:v>
      </x:c>
      <x:c r="B357" s="1" t="str">
        <x:v>Simulated Jaipur University 352</x:v>
      </x:c>
      <x:c r="C357" s="1" t="str">
        <x:v>West</x:v>
      </x:c>
      <x:c r="D357" s="1" t="str">
        <x:v>Closed Lost</x:v>
      </x:c>
      <x:c r="E357" s="1" t="str">
        <x:v>Lost</x:v>
      </x:c>
      <x:c r="F357" s="7" t="n">
        <x:v>375000</x:v>
      </x:c>
      <x:c r="G357" s="8" t="d">
        <x:v>2026-05-22T00:00:00.000Z</x:v>
      </x:c>
      <x:c r="H357" s="8" t="d">
        <x:v>2026-08-30T00:00:00.000Z</x:v>
      </x:c>
      <x:c r="I357" s="8" t="d">
        <x:v>2026-06-10T00:00:00.000Z</x:v>
      </x:c>
      <x:c r="J357" s="7" t="n">
        <x:v>0</x:v>
      </x:c>
      <x:c r="K357" s="1" t="n">
        <x:v>0</x:v>
      </x:c>
      <x:c r="L357" s="1" t="n">
        <x:v>0</x:v>
      </x:c>
      <x:c r="M357" s="1" t="n">
        <x:v>112</x:v>
      </x:c>
      <x:c r="N357" s="1"/>
      <x:c r="O357" s="1"/>
      <x:c r="P357" s="1"/>
      <x:c r="Q357" s="1"/>
    </x:row>
    <x:row r="358" ht="22" customHeight="1">
      <x:c r="A358" s="1" t="str">
        <x:v>O0353</x:v>
      </x:c>
      <x:c r="B358" s="1" t="str">
        <x:v>Simulated Bengaluru Management Institute 353</x:v>
      </x:c>
      <x:c r="C358" s="1" t="str">
        <x:v>South</x:v>
      </x:c>
      <x:c r="D358" s="1" t="str">
        <x:v>Closed Won</x:v>
      </x:c>
      <x:c r="E358" s="1" t="str">
        <x:v>Won</x:v>
      </x:c>
      <x:c r="F358" s="7" t="n">
        <x:v>193000</x:v>
      </x:c>
      <x:c r="G358" s="8" t="d">
        <x:v>2025-10-11T00:00:00.000Z</x:v>
      </x:c>
      <x:c r="H358" s="8" t="d">
        <x:v>2026-01-04T00:00:00.000Z</x:v>
      </x:c>
      <x:c r="I358" s="8" t="d">
        <x:v>2026-02-20T00:00:00.000Z</x:v>
      </x:c>
      <x:c r="J358" s="7" t="n">
        <x:v>117915.07</x:v>
      </x:c>
      <x:c r="K358" s="1" t="n">
        <x:v>0</x:v>
      </x:c>
      <x:c r="L358" s="1" t="n">
        <x:v>0</x:v>
      </x:c>
      <x:c r="M358" s="1" t="n">
        <x:v>222</x:v>
      </x:c>
      <x:c r="N358" s="1"/>
      <x:c r="O358" s="1"/>
      <x:c r="P358" s="1"/>
      <x:c r="Q358" s="1"/>
    </x:row>
    <x:row r="359" ht="22" customHeight="1">
      <x:c r="A359" s="1" t="str">
        <x:v>O0354</x:v>
      </x:c>
      <x:c r="B359" s="1" t="str">
        <x:v>Simulated Chennai Management Institute 354</x:v>
      </x:c>
      <x:c r="C359" s="1" t="str">
        <x:v>South</x:v>
      </x:c>
      <x:c r="D359" s="1" t="str">
        <x:v>Prospect Identified</x:v>
      </x:c>
      <x:c r="E359" s="1" t="str">
        <x:v>Open</x:v>
      </x:c>
      <x:c r="F359" s="7" t="n">
        <x:v>122000</x:v>
      </x:c>
      <x:c r="G359" s="8" t="d">
        <x:v>2025-11-08T00:00:00.000Z</x:v>
      </x:c>
      <x:c r="H359" s="8" t="d">
        <x:v>2026-04-04T00:00:00.000Z</x:v>
      </x:c>
      <x:c r="I359" s="8"/>
      <x:c r="J359" s="7" t="n">
        <x:v>0</x:v>
      </x:c>
      <x:c r="K359" s="1" t="n">
        <x:v>29.98</x:v>
      </x:c>
      <x:c r="L359" s="1" t="n">
        <x:v>1</x:v>
      </x:c>
      <x:c r="M359" s="1" t="n">
        <x:v>326</x:v>
      </x:c>
      <x:c r="N359" s="1"/>
      <x:c r="O359" s="1"/>
      <x:c r="P359" s="1"/>
      <x:c r="Q359" s="1"/>
    </x:row>
    <x:row r="360" ht="22" customHeight="1">
      <x:c r="A360" s="1" t="str">
        <x:v>O0355</x:v>
      </x:c>
      <x:c r="B360" s="1" t="str">
        <x:v>Simulated Hyderabad University 355</x:v>
      </x:c>
      <x:c r="C360" s="1" t="str">
        <x:v>South</x:v>
      </x:c>
      <x:c r="D360" s="1" t="str">
        <x:v>Initial Contact</x:v>
      </x:c>
      <x:c r="E360" s="1" t="str">
        <x:v>Open</x:v>
      </x:c>
      <x:c r="F360" s="7" t="n">
        <x:v>336000</x:v>
      </x:c>
      <x:c r="G360" s="8" t="d">
        <x:v>2026-07-27T00:00:00.000Z</x:v>
      </x:c>
      <x:c r="H360" s="8" t="d">
        <x:v>2026-12-23T00:00:00.000Z</x:v>
      </x:c>
      <x:c r="I360" s="8"/>
      <x:c r="J360" s="7" t="n">
        <x:v>0</x:v>
      </x:c>
      <x:c r="K360" s="1" t="n">
        <x:v>63.86</x:v>
      </x:c>
      <x:c r="L360" s="1" t="n">
        <x:v>1</x:v>
      </x:c>
      <x:c r="M360" s="1" t="n">
        <x:v>28</x:v>
      </x:c>
      <x:c r="N360" s="1"/>
      <x:c r="O360" s="1"/>
      <x:c r="P360" s="1"/>
      <x:c r="Q360" s="1"/>
    </x:row>
    <x:row r="361" ht="22" customHeight="1">
      <x:c r="A361" s="1" t="str">
        <x:v>O0356</x:v>
      </x:c>
      <x:c r="B361" s="1" t="str">
        <x:v>Simulated Kolkata University 356</x:v>
      </x:c>
      <x:c r="C361" s="1" t="str">
        <x:v>East</x:v>
      </x:c>
      <x:c r="D361" s="1" t="str">
        <x:v>Closed Lost</x:v>
      </x:c>
      <x:c r="E361" s="1" t="str">
        <x:v>Lost</x:v>
      </x:c>
      <x:c r="F361" s="7" t="n">
        <x:v>523000</x:v>
      </x:c>
      <x:c r="G361" s="8" t="d">
        <x:v>2026-01-08T00:00:00.000Z</x:v>
      </x:c>
      <x:c r="H361" s="8" t="d">
        <x:v>2026-05-03T00:00:00.000Z</x:v>
      </x:c>
      <x:c r="I361" s="8" t="d">
        <x:v>2026-02-19T00:00:00.000Z</x:v>
      </x:c>
      <x:c r="J361" s="7" t="n">
        <x:v>0</x:v>
      </x:c>
      <x:c r="K361" s="1" t="n">
        <x:v>0</x:v>
      </x:c>
      <x:c r="L361" s="1" t="n">
        <x:v>0</x:v>
      </x:c>
      <x:c r="M361" s="1" t="n">
        <x:v>223</x:v>
      </x:c>
      <x:c r="N361" s="1"/>
      <x:c r="O361" s="1"/>
      <x:c r="P361" s="1"/>
      <x:c r="Q361" s="1"/>
    </x:row>
    <x:row r="362" ht="22" customHeight="1">
      <x:c r="A362" s="1" t="str">
        <x:v>O0357</x:v>
      </x:c>
      <x:c r="B362" s="1" t="str">
        <x:v>Simulated Bhubaneswar University 357</x:v>
      </x:c>
      <x:c r="C362" s="1" t="str">
        <x:v>East</x:v>
      </x:c>
      <x:c r="D362" s="1" t="str">
        <x:v>Closed Lost</x:v>
      </x:c>
      <x:c r="E362" s="1" t="str">
        <x:v>Lost</x:v>
      </x:c>
      <x:c r="F362" s="7" t="n">
        <x:v>345000</x:v>
      </x:c>
      <x:c r="G362" s="8" t="d">
        <x:v>2026-06-19T00:00:00.000Z</x:v>
      </x:c>
      <x:c r="H362" s="8" t="d">
        <x:v>2026-09-30T00:00:00.000Z</x:v>
      </x:c>
      <x:c r="I362" s="8" t="d">
        <x:v>2026-09-21T00:00:00.000Z</x:v>
      </x:c>
      <x:c r="J362" s="7" t="n">
        <x:v>0</x:v>
      </x:c>
      <x:c r="K362" s="1" t="n">
        <x:v>0</x:v>
      </x:c>
      <x:c r="L362" s="1" t="n">
        <x:v>0</x:v>
      </x:c>
      <x:c r="M362" s="1" t="n">
        <x:v>9</x:v>
      </x:c>
      <x:c r="N362" s="1"/>
      <x:c r="O362" s="1"/>
      <x:c r="P362" s="1"/>
      <x:c r="Q362" s="1"/>
    </x:row>
    <x:row r="363" ht="22" customHeight="1">
      <x:c r="A363" s="1" t="str">
        <x:v>O0358</x:v>
      </x:c>
      <x:c r="B363" s="1" t="str">
        <x:v>Simulated Patna University 358</x:v>
      </x:c>
      <x:c r="C363" s="1" t="str">
        <x:v>East</x:v>
      </x:c>
      <x:c r="D363" s="1" t="str">
        <x:v>Closed Lost</x:v>
      </x:c>
      <x:c r="E363" s="1" t="str">
        <x:v>Lost</x:v>
      </x:c>
      <x:c r="F363" s="7" t="n">
        <x:v>742000</x:v>
      </x:c>
      <x:c r="G363" s="8" t="d">
        <x:v>2026-08-31T00:00:00.000Z</x:v>
      </x:c>
      <x:c r="H363" s="8" t="d">
        <x:v>2026-12-09T00:00:00.000Z</x:v>
      </x:c>
      <x:c r="I363" s="8" t="d">
        <x:v>2026-09-30T00:00:00.000Z</x:v>
      </x:c>
      <x:c r="J363" s="7" t="n">
        <x:v>0</x:v>
      </x:c>
      <x:c r="K363" s="1" t="n">
        <x:v>0</x:v>
      </x:c>
      <x:c r="L363" s="1" t="n">
        <x:v>0</x:v>
      </x:c>
      <x:c r="M363" s="1" t="n">
        <x:v>0</x:v>
      </x:c>
      <x:c r="N363" s="1"/>
      <x:c r="O363" s="1"/>
      <x:c r="P363" s="1"/>
      <x:c r="Q363" s="1"/>
    </x:row>
    <x:row r="364" ht="22" customHeight="1">
      <x:c r="A364" s="1" t="str">
        <x:v>O0359</x:v>
      </x:c>
      <x:c r="B364" s="1" t="str">
        <x:v>Simulated Guwahati Arts and Science College 359</x:v>
      </x:c>
      <x:c r="C364" s="1" t="str">
        <x:v>Northeast</x:v>
      </x:c>
      <x:c r="D364" s="1" t="str">
        <x:v>Prospect Identified</x:v>
      </x:c>
      <x:c r="E364" s="1" t="str">
        <x:v>Open</x:v>
      </x:c>
      <x:c r="F364" s="7" t="n">
        <x:v>171000</x:v>
      </x:c>
      <x:c r="G364" s="8" t="d">
        <x:v>2026-06-12T00:00:00.000Z</x:v>
      </x:c>
      <x:c r="H364" s="8" t="d">
        <x:v>2026-10-05T00:00:00.000Z</x:v>
      </x:c>
      <x:c r="I364" s="8"/>
      <x:c r="J364" s="7" t="n">
        <x:v>0</x:v>
      </x:c>
      <x:c r="K364" s="1" t="n">
        <x:v>41.26</x:v>
      </x:c>
      <x:c r="L364" s="1" t="n">
        <x:v>0</x:v>
      </x:c>
      <x:c r="M364" s="1" t="n">
        <x:v>110</x:v>
      </x:c>
      <x:c r="N364" s="1"/>
      <x:c r="O364" s="1"/>
      <x:c r="P364" s="1"/>
      <x:c r="Q364" s="1"/>
    </x:row>
    <x:row r="365" ht="22" customHeight="1">
      <x:c r="A365" s="1" t="str">
        <x:v>O0360</x:v>
      </x:c>
      <x:c r="B365" s="1" t="str">
        <x:v>Simulated Indore Engineering College 360</x:v>
      </x:c>
      <x:c r="C365" s="1" t="str">
        <x:v>Central</x:v>
      </x:c>
      <x:c r="D365" s="1" t="str">
        <x:v>Prospect Identified</x:v>
      </x:c>
      <x:c r="E365" s="1" t="str">
        <x:v>Open</x:v>
      </x:c>
      <x:c r="F365" s="7" t="n">
        <x:v>132000</x:v>
      </x:c>
      <x:c r="G365" s="8" t="d">
        <x:v>2026-09-17T00:00:00.000Z</x:v>
      </x:c>
      <x:c r="H365" s="8" t="d">
        <x:v>2027-02-01T00:00:00.000Z</x:v>
      </x:c>
      <x:c r="I365" s="8"/>
      <x:c r="J365" s="7" t="n">
        <x:v>0</x:v>
      </x:c>
      <x:c r="K365" s="1" t="n">
        <x:v>39.05</x:v>
      </x:c>
      <x:c r="L365" s="1" t="n">
        <x:v>0</x:v>
      </x:c>
      <x:c r="M365" s="1" t="n">
        <x:v>13</x:v>
      </x:c>
      <x:c r="N365" s="1"/>
      <x:c r="O365" s="1"/>
      <x:c r="P365" s="1"/>
      <x:c r="Q365" s="1"/>
    </x:row>
    <x:row r="366" ht="22" customHeight="1">
      <x:c r="A366" s="1" t="str">
        <x:v>O0361</x:v>
      </x:c>
      <x:c r="B366" s="1" t="str">
        <x:v>Simulated New Delhi University 361</x:v>
      </x:c>
      <x:c r="C366" s="1" t="str">
        <x:v>North</x:v>
      </x:c>
      <x:c r="D366" s="1" t="str">
        <x:v>Closed Lost</x:v>
      </x:c>
      <x:c r="E366" s="1" t="str">
        <x:v>Lost</x:v>
      </x:c>
      <x:c r="F366" s="7" t="n">
        <x:v>1067000</x:v>
      </x:c>
      <x:c r="G366" s="8" t="d">
        <x:v>2026-02-28T00:00:00.000Z</x:v>
      </x:c>
      <x:c r="H366" s="8" t="d">
        <x:v>2026-07-01T00:00:00.000Z</x:v>
      </x:c>
      <x:c r="I366" s="8" t="d">
        <x:v>2026-03-21T00:00:00.000Z</x:v>
      </x:c>
      <x:c r="J366" s="7" t="n">
        <x:v>0</x:v>
      </x:c>
      <x:c r="K366" s="1" t="n">
        <x:v>0</x:v>
      </x:c>
      <x:c r="L366" s="1" t="n">
        <x:v>0</x:v>
      </x:c>
      <x:c r="M366" s="1" t="n">
        <x:v>193</x:v>
      </x:c>
      <x:c r="N366" s="1"/>
      <x:c r="O366" s="1"/>
      <x:c r="P366" s="1"/>
      <x:c r="Q366" s="1"/>
    </x:row>
    <x:row r="367" ht="22" customHeight="1">
      <x:c r="A367" s="1" t="str">
        <x:v>O0362</x:v>
      </x:c>
      <x:c r="B367" s="1" t="str">
        <x:v>Simulated Noida Management Institute 362</x:v>
      </x:c>
      <x:c r="C367" s="1" t="str">
        <x:v>North</x:v>
      </x:c>
      <x:c r="D367" s="1" t="str">
        <x:v>Prospect Identified</x:v>
      </x:c>
      <x:c r="E367" s="1" t="str">
        <x:v>Open</x:v>
      </x:c>
      <x:c r="F367" s="7" t="n">
        <x:v>90000</x:v>
      </x:c>
      <x:c r="G367" s="8" t="d">
        <x:v>2025-12-05T00:00:00.000Z</x:v>
      </x:c>
      <x:c r="H367" s="8" t="d">
        <x:v>2026-04-07T00:00:00.000Z</x:v>
      </x:c>
      <x:c r="I367" s="8"/>
      <x:c r="J367" s="7" t="n">
        <x:v>0</x:v>
      </x:c>
      <x:c r="K367" s="1" t="n">
        <x:v>32.34</x:v>
      </x:c>
      <x:c r="L367" s="1" t="n">
        <x:v>1</x:v>
      </x:c>
      <x:c r="M367" s="1" t="n">
        <x:v>299</x:v>
      </x:c>
      <x:c r="N367" s="1"/>
      <x:c r="O367" s="1"/>
      <x:c r="P367" s="1"/>
      <x:c r="Q367" s="1"/>
    </x:row>
    <x:row r="368" ht="22" customHeight="1">
      <x:c r="A368" s="1" t="str">
        <x:v>O0363</x:v>
      </x:c>
      <x:c r="B368" s="1" t="str">
        <x:v>Simulated Gurugram Arts and Science College 363</x:v>
      </x:c>
      <x:c r="C368" s="1" t="str">
        <x:v>North</x:v>
      </x:c>
      <x:c r="D368" s="1" t="str">
        <x:v>Qualified</x:v>
      </x:c>
      <x:c r="E368" s="1" t="str">
        <x:v>Open</x:v>
      </x:c>
      <x:c r="F368" s="7" t="n">
        <x:v>355000</x:v>
      </x:c>
      <x:c r="G368" s="8" t="d">
        <x:v>2026-09-17T00:00:00.000Z</x:v>
      </x:c>
      <x:c r="H368" s="8" t="d">
        <x:v>2027-02-12T00:00:00.000Z</x:v>
      </x:c>
      <x:c r="I368" s="8"/>
      <x:c r="J368" s="7" t="n">
        <x:v>0</x:v>
      </x:c>
      <x:c r="K368" s="1" t="n">
        <x:v>49.84</x:v>
      </x:c>
      <x:c r="L368" s="1" t="n">
        <x:v>0</x:v>
      </x:c>
      <x:c r="M368" s="1" t="n">
        <x:v>3</x:v>
      </x:c>
      <x:c r="N368" s="1"/>
      <x:c r="O368" s="1"/>
      <x:c r="P368" s="1"/>
      <x:c r="Q368" s="1"/>
    </x:row>
    <x:row r="369" ht="22" customHeight="1">
      <x:c r="A369" s="1" t="str">
        <x:v>O0364</x:v>
      </x:c>
      <x:c r="B369" s="1" t="str">
        <x:v>Simulated Ludhiana University 364</x:v>
      </x:c>
      <x:c r="C369" s="1" t="str">
        <x:v>North</x:v>
      </x:c>
      <x:c r="D369" s="1" t="str">
        <x:v>Closed Lost</x:v>
      </x:c>
      <x:c r="E369" s="1" t="str">
        <x:v>Lost</x:v>
      </x:c>
      <x:c r="F369" s="7" t="n">
        <x:v>249000</x:v>
      </x:c>
      <x:c r="G369" s="8" t="d">
        <x:v>2026-01-14T00:00:00.000Z</x:v>
      </x:c>
      <x:c r="H369" s="8" t="d">
        <x:v>2026-04-16T00:00:00.000Z</x:v>
      </x:c>
      <x:c r="I369" s="8" t="d">
        <x:v>2026-05-13T00:00:00.000Z</x:v>
      </x:c>
      <x:c r="J369" s="7" t="n">
        <x:v>0</x:v>
      </x:c>
      <x:c r="K369" s="1" t="n">
        <x:v>0</x:v>
      </x:c>
      <x:c r="L369" s="1" t="n">
        <x:v>0</x:v>
      </x:c>
      <x:c r="M369" s="1" t="n">
        <x:v>140</x:v>
      </x:c>
      <x:c r="N369" s="1"/>
      <x:c r="O369" s="1"/>
      <x:c r="P369" s="1"/>
      <x:c r="Q369" s="1"/>
    </x:row>
    <x:row r="370" ht="22" customHeight="1">
      <x:c r="A370" s="1" t="str">
        <x:v>O0365</x:v>
      </x:c>
      <x:c r="B370" s="1" t="str">
        <x:v>Simulated Pune University 365</x:v>
      </x:c>
      <x:c r="C370" s="1" t="str">
        <x:v>West</x:v>
      </x:c>
      <x:c r="D370" s="1" t="str">
        <x:v>Proposal Sent</x:v>
      </x:c>
      <x:c r="E370" s="1" t="str">
        <x:v>Open</x:v>
      </x:c>
      <x:c r="F370" s="7" t="n">
        <x:v>385000</x:v>
      </x:c>
      <x:c r="G370" s="8" t="d">
        <x:v>2026-07-26T00:00:00.000Z</x:v>
      </x:c>
      <x:c r="H370" s="8" t="d">
        <x:v>2026-11-24T00:00:00.000Z</x:v>
      </x:c>
      <x:c r="I370" s="8"/>
      <x:c r="J370" s="7" t="n">
        <x:v>0</x:v>
      </x:c>
      <x:c r="K370" s="1" t="n">
        <x:v>55.52</x:v>
      </x:c>
      <x:c r="L370" s="1" t="n">
        <x:v>0</x:v>
      </x:c>
      <x:c r="M370" s="1" t="n">
        <x:v>4</x:v>
      </x:c>
      <x:c r="N370" s="1"/>
      <x:c r="O370" s="1"/>
      <x:c r="P370" s="1"/>
      <x:c r="Q370" s="1"/>
    </x:row>
    <x:row r="371" ht="22" customHeight="1">
      <x:c r="A371" s="1" t="str">
        <x:v>O0366</x:v>
      </x:c>
      <x:c r="B371" s="1" t="str">
        <x:v>Simulated Ahmedabad Arts and Science College 366</x:v>
      </x:c>
      <x:c r="C371" s="1" t="str">
        <x:v>West</x:v>
      </x:c>
      <x:c r="D371" s="1" t="str">
        <x:v>Closed Lost</x:v>
      </x:c>
      <x:c r="E371" s="1" t="str">
        <x:v>Lost</x:v>
      </x:c>
      <x:c r="F371" s="7" t="n">
        <x:v>106000</x:v>
      </x:c>
      <x:c r="G371" s="8" t="d">
        <x:v>2025-11-20T00:00:00.000Z</x:v>
      </x:c>
      <x:c r="H371" s="8" t="d">
        <x:v>2026-03-14T00:00:00.000Z</x:v>
      </x:c>
      <x:c r="I371" s="8" t="d">
        <x:v>2026-01-23T00:00:00.000Z</x:v>
      </x:c>
      <x:c r="J371" s="7" t="n">
        <x:v>0</x:v>
      </x:c>
      <x:c r="K371" s="1" t="n">
        <x:v>0</x:v>
      </x:c>
      <x:c r="L371" s="1" t="n">
        <x:v>0</x:v>
      </x:c>
      <x:c r="M371" s="1" t="n">
        <x:v>250</x:v>
      </x:c>
      <x:c r="N371" s="1"/>
      <x:c r="O371" s="1"/>
      <x:c r="P371" s="1"/>
      <x:c r="Q371" s="1"/>
    </x:row>
    <x:row r="372" ht="22" customHeight="1">
      <x:c r="A372" s="1" t="str">
        <x:v>O0367</x:v>
      </x:c>
      <x:c r="B372" s="1" t="str">
        <x:v>Simulated Jaipur Arts and Science College 367</x:v>
      </x:c>
      <x:c r="C372" s="1" t="str">
        <x:v>West</x:v>
      </x:c>
      <x:c r="D372" s="1" t="str">
        <x:v>Closed Lost</x:v>
      </x:c>
      <x:c r="E372" s="1" t="str">
        <x:v>Lost</x:v>
      </x:c>
      <x:c r="F372" s="7" t="n">
        <x:v>121000</x:v>
      </x:c>
      <x:c r="G372" s="8" t="d">
        <x:v>2025-10-01T00:00:00.000Z</x:v>
      </x:c>
      <x:c r="H372" s="8" t="d">
        <x:v>2025-12-29T00:00:00.000Z</x:v>
      </x:c>
      <x:c r="I372" s="8" t="d">
        <x:v>2026-01-24T00:00:00.000Z</x:v>
      </x:c>
      <x:c r="J372" s="7" t="n">
        <x:v>0</x:v>
      </x:c>
      <x:c r="K372" s="1" t="n">
        <x:v>0</x:v>
      </x:c>
      <x:c r="L372" s="1" t="n">
        <x:v>0</x:v>
      </x:c>
      <x:c r="M372" s="1" t="n">
        <x:v>249</x:v>
      </x:c>
      <x:c r="N372" s="1"/>
      <x:c r="O372" s="1"/>
      <x:c r="P372" s="1"/>
      <x:c r="Q372" s="1"/>
    </x:row>
    <x:row r="373" ht="22" customHeight="1">
      <x:c r="A373" s="1" t="str">
        <x:v>O0368</x:v>
      </x:c>
      <x:c r="B373" s="1" t="str">
        <x:v>Simulated Bengaluru Arts and Science College 368</x:v>
      </x:c>
      <x:c r="C373" s="1" t="str">
        <x:v>South</x:v>
      </x:c>
      <x:c r="D373" s="1" t="str">
        <x:v>Closed Lost</x:v>
      </x:c>
      <x:c r="E373" s="1" t="str">
        <x:v>Lost</x:v>
      </x:c>
      <x:c r="F373" s="7" t="n">
        <x:v>172000</x:v>
      </x:c>
      <x:c r="G373" s="8" t="d">
        <x:v>2026-02-02T00:00:00.000Z</x:v>
      </x:c>
      <x:c r="H373" s="8" t="d">
        <x:v>2026-05-28T00:00:00.000Z</x:v>
      </x:c>
      <x:c r="I373" s="8" t="d">
        <x:v>2026-03-01T00:00:00.000Z</x:v>
      </x:c>
      <x:c r="J373" s="7" t="n">
        <x:v>0</x:v>
      </x:c>
      <x:c r="K373" s="1" t="n">
        <x:v>0</x:v>
      </x:c>
      <x:c r="L373" s="1" t="n">
        <x:v>0</x:v>
      </x:c>
      <x:c r="M373" s="1" t="n">
        <x:v>213</x:v>
      </x:c>
      <x:c r="N373" s="1"/>
      <x:c r="O373" s="1"/>
      <x:c r="P373" s="1"/>
      <x:c r="Q373" s="1"/>
    </x:row>
    <x:row r="374" ht="22" customHeight="1">
      <x:c r="A374" s="1" t="str">
        <x:v>O0369</x:v>
      </x:c>
      <x:c r="B374" s="1" t="str">
        <x:v>Simulated Chennai Engineering College 369</x:v>
      </x:c>
      <x:c r="C374" s="1" t="str">
        <x:v>South</x:v>
      </x:c>
      <x:c r="D374" s="1" t="str">
        <x:v>Closed Lost</x:v>
      </x:c>
      <x:c r="E374" s="1" t="str">
        <x:v>Lost</x:v>
      </x:c>
      <x:c r="F374" s="7" t="n">
        <x:v>186000</x:v>
      </x:c>
      <x:c r="G374" s="8" t="d">
        <x:v>2025-10-11T00:00:00.000Z</x:v>
      </x:c>
      <x:c r="H374" s="8" t="d">
        <x:v>2026-02-20T00:00:00.000Z</x:v>
      </x:c>
      <x:c r="I374" s="8" t="d">
        <x:v>2025-10-27T00:00:00.000Z</x:v>
      </x:c>
      <x:c r="J374" s="7" t="n">
        <x:v>0</x:v>
      </x:c>
      <x:c r="K374" s="1" t="n">
        <x:v>0</x:v>
      </x:c>
      <x:c r="L374" s="1" t="n">
        <x:v>0</x:v>
      </x:c>
      <x:c r="M374" s="1" t="n">
        <x:v>338</x:v>
      </x:c>
      <x:c r="N374" s="1"/>
      <x:c r="O374" s="1"/>
      <x:c r="P374" s="1"/>
      <x:c r="Q374" s="1"/>
    </x:row>
    <x:row r="375" ht="22" customHeight="1">
      <x:c r="A375" s="1" t="str">
        <x:v>O0370</x:v>
      </x:c>
      <x:c r="B375" s="1" t="str">
        <x:v>Simulated Hyderabad Arts and Science College 370</x:v>
      </x:c>
      <x:c r="C375" s="1" t="str">
        <x:v>South</x:v>
      </x:c>
      <x:c r="D375" s="1" t="str">
        <x:v>Initial Contact</x:v>
      </x:c>
      <x:c r="E375" s="1" t="str">
        <x:v>Open</x:v>
      </x:c>
      <x:c r="F375" s="7" t="n">
        <x:v>117000</x:v>
      </x:c>
      <x:c r="G375" s="8" t="d">
        <x:v>2026-08-16T00:00:00.000Z</x:v>
      </x:c>
      <x:c r="H375" s="8" t="d">
        <x:v>2026-12-01T00:00:00.000Z</x:v>
      </x:c>
      <x:c r="I375" s="8"/>
      <x:c r="J375" s="7" t="n">
        <x:v>0</x:v>
      </x:c>
      <x:c r="K375" s="1" t="n">
        <x:v>39.65</x:v>
      </x:c>
      <x:c r="L375" s="1" t="n">
        <x:v>0</x:v>
      </x:c>
      <x:c r="M375" s="1" t="n">
        <x:v>17</x:v>
      </x:c>
      <x:c r="N375" s="1"/>
      <x:c r="O375" s="1"/>
      <x:c r="P375" s="1"/>
      <x:c r="Q375" s="1"/>
    </x:row>
    <x:row r="376" ht="22" customHeight="1">
      <x:c r="A376" s="1" t="str">
        <x:v>O0371</x:v>
      </x:c>
      <x:c r="B376" s="1" t="str">
        <x:v>Simulated Kolkata University 371</x:v>
      </x:c>
      <x:c r="C376" s="1" t="str">
        <x:v>East</x:v>
      </x:c>
      <x:c r="D376" s="1" t="str">
        <x:v>Initial Contact</x:v>
      </x:c>
      <x:c r="E376" s="1" t="str">
        <x:v>Open</x:v>
      </x:c>
      <x:c r="F376" s="7" t="n">
        <x:v>372000</x:v>
      </x:c>
      <x:c r="G376" s="8" t="d">
        <x:v>2025-10-03T00:00:00.000Z</x:v>
      </x:c>
      <x:c r="H376" s="8" t="d">
        <x:v>2026-02-20T00:00:00.000Z</x:v>
      </x:c>
      <x:c r="I376" s="8"/>
      <x:c r="J376" s="7" t="n">
        <x:v>0</x:v>
      </x:c>
      <x:c r="K376" s="1" t="n">
        <x:v>39.81</x:v>
      </x:c>
      <x:c r="L376" s="1" t="n">
        <x:v>1</x:v>
      </x:c>
      <x:c r="M376" s="1" t="n">
        <x:v>328</x:v>
      </x:c>
      <x:c r="N376" s="1"/>
      <x:c r="O376" s="1"/>
      <x:c r="P376" s="1"/>
      <x:c r="Q376" s="1"/>
    </x:row>
    <x:row r="377" ht="22" customHeight="1">
      <x:c r="A377" s="1" t="str">
        <x:v>O0372</x:v>
      </x:c>
      <x:c r="B377" s="1" t="str">
        <x:v>Simulated Bhubaneswar University 372</x:v>
      </x:c>
      <x:c r="C377" s="1" t="str">
        <x:v>East</x:v>
      </x:c>
      <x:c r="D377" s="1" t="str">
        <x:v>Qualified</x:v>
      </x:c>
      <x:c r="E377" s="1" t="str">
        <x:v>Open</x:v>
      </x:c>
      <x:c r="F377" s="7" t="n">
        <x:v>436000</x:v>
      </x:c>
      <x:c r="G377" s="8" t="d">
        <x:v>2026-01-05T00:00:00.000Z</x:v>
      </x:c>
      <x:c r="H377" s="8" t="d">
        <x:v>2026-05-19T00:00:00.000Z</x:v>
      </x:c>
      <x:c r="I377" s="8"/>
      <x:c r="J377" s="7" t="n">
        <x:v>0</x:v>
      </x:c>
      <x:c r="K377" s="1" t="n">
        <x:v>44.69</x:v>
      </x:c>
      <x:c r="L377" s="1" t="n">
        <x:v>1</x:v>
      </x:c>
      <x:c r="M377" s="1" t="n">
        <x:v>247</x:v>
      </x:c>
      <x:c r="N377" s="1"/>
      <x:c r="O377" s="1"/>
      <x:c r="P377" s="1"/>
      <x:c r="Q377" s="1"/>
    </x:row>
    <x:row r="378" ht="22" customHeight="1">
      <x:c r="A378" s="1" t="str">
        <x:v>O0373</x:v>
      </x:c>
      <x:c r="B378" s="1" t="str">
        <x:v>Simulated Patna Engineering College 373</x:v>
      </x:c>
      <x:c r="C378" s="1" t="str">
        <x:v>East</x:v>
      </x:c>
      <x:c r="D378" s="1" t="str">
        <x:v>Qualified</x:v>
      </x:c>
      <x:c r="E378" s="1" t="str">
        <x:v>Open</x:v>
      </x:c>
      <x:c r="F378" s="7" t="n">
        <x:v>193000</x:v>
      </x:c>
      <x:c r="G378" s="8" t="d">
        <x:v>2026-09-18T00:00:00.000Z</x:v>
      </x:c>
      <x:c r="H378" s="8" t="d">
        <x:v>2027-01-28T00:00:00.000Z</x:v>
      </x:c>
      <x:c r="I378" s="8"/>
      <x:c r="J378" s="7" t="n">
        <x:v>0</x:v>
      </x:c>
      <x:c r="K378" s="1" t="n">
        <x:v>47.41</x:v>
      </x:c>
      <x:c r="L378" s="1" t="n">
        <x:v>0</x:v>
      </x:c>
      <x:c r="M378" s="1" t="n">
        <x:v>4</x:v>
      </x:c>
      <x:c r="N378" s="1"/>
      <x:c r="O378" s="1"/>
      <x:c r="P378" s="1"/>
      <x:c r="Q378" s="1"/>
    </x:row>
    <x:row r="379" ht="22" customHeight="1">
      <x:c r="A379" s="1" t="str">
        <x:v>O0374</x:v>
      </x:c>
      <x:c r="B379" s="1" t="str">
        <x:v>Simulated Guwahati Management Institute 374</x:v>
      </x:c>
      <x:c r="C379" s="1" t="str">
        <x:v>Northeast</x:v>
      </x:c>
      <x:c r="D379" s="1" t="str">
        <x:v>Initial Contact</x:v>
      </x:c>
      <x:c r="E379" s="1" t="str">
        <x:v>Open</x:v>
      </x:c>
      <x:c r="F379" s="7" t="n">
        <x:v>137000</x:v>
      </x:c>
      <x:c r="G379" s="8" t="d">
        <x:v>2025-11-29T00:00:00.000Z</x:v>
      </x:c>
      <x:c r="H379" s="8" t="d">
        <x:v>2026-04-01T00:00:00.000Z</x:v>
      </x:c>
      <x:c r="I379" s="8"/>
      <x:c r="J379" s="7" t="n">
        <x:v>0</x:v>
      </x:c>
      <x:c r="K379" s="1" t="n">
        <x:v>45.05</x:v>
      </x:c>
      <x:c r="L379" s="1" t="n">
        <x:v>1</x:v>
      </x:c>
      <x:c r="M379" s="1" t="n">
        <x:v>253</x:v>
      </x:c>
      <x:c r="N379" s="1"/>
      <x:c r="O379" s="1"/>
      <x:c r="P379" s="1"/>
      <x:c r="Q379" s="1"/>
    </x:row>
    <x:row r="380" ht="22" customHeight="1">
      <x:c r="A380" s="1" t="str">
        <x:v>O0375</x:v>
      </x:c>
      <x:c r="B380" s="1" t="str">
        <x:v>Simulated Indore University 375</x:v>
      </x:c>
      <x:c r="C380" s="1" t="str">
        <x:v>Central</x:v>
      </x:c>
      <x:c r="D380" s="1" t="str">
        <x:v>Closed Lost</x:v>
      </x:c>
      <x:c r="E380" s="1" t="str">
        <x:v>Lost</x:v>
      </x:c>
      <x:c r="F380" s="7" t="n">
        <x:v>701000</x:v>
      </x:c>
      <x:c r="G380" s="8" t="d">
        <x:v>2026-05-05T00:00:00.000Z</x:v>
      </x:c>
      <x:c r="H380" s="8" t="d">
        <x:v>2026-09-14T00:00:00.000Z</x:v>
      </x:c>
      <x:c r="I380" s="8" t="d">
        <x:v>2026-07-21T00:00:00.000Z</x:v>
      </x:c>
      <x:c r="J380" s="7" t="n">
        <x:v>0</x:v>
      </x:c>
      <x:c r="K380" s="1" t="n">
        <x:v>0</x:v>
      </x:c>
      <x:c r="L380" s="1" t="n">
        <x:v>0</x:v>
      </x:c>
      <x:c r="M380" s="1" t="n">
        <x:v>71</x:v>
      </x:c>
      <x:c r="N380" s="1"/>
      <x:c r="O380" s="1"/>
      <x:c r="P380" s="1"/>
      <x:c r="Q380" s="1"/>
    </x:row>
    <x:row r="381" ht="22" customHeight="1">
      <x:c r="A381" s="1" t="str">
        <x:v>O0376</x:v>
      </x:c>
      <x:c r="B381" s="1" t="str">
        <x:v>Simulated New Delhi Management Institute 376</x:v>
      </x:c>
      <x:c r="C381" s="1" t="str">
        <x:v>North</x:v>
      </x:c>
      <x:c r="D381" s="1" t="str">
        <x:v>Closed Won</x:v>
      </x:c>
      <x:c r="E381" s="1" t="str">
        <x:v>Won</x:v>
      </x:c>
      <x:c r="F381" s="7" t="n">
        <x:v>401000</x:v>
      </x:c>
      <x:c r="G381" s="8" t="d">
        <x:v>2026-04-14T00:00:00.000Z</x:v>
      </x:c>
      <x:c r="H381" s="8" t="d">
        <x:v>2026-07-04T00:00:00.000Z</x:v>
      </x:c>
      <x:c r="I381" s="8" t="d">
        <x:v>2026-08-16T00:00:00.000Z</x:v>
      </x:c>
      <x:c r="J381" s="7" t="n">
        <x:v>50536.99</x:v>
      </x:c>
      <x:c r="K381" s="1" t="n">
        <x:v>0</x:v>
      </x:c>
      <x:c r="L381" s="1" t="n">
        <x:v>0</x:v>
      </x:c>
      <x:c r="M381" s="1" t="n">
        <x:v>45</x:v>
      </x:c>
      <x:c r="N381" s="1"/>
      <x:c r="O381" s="1"/>
      <x:c r="P381" s="1"/>
      <x:c r="Q381" s="1"/>
    </x:row>
    <x:row r="382" ht="22" customHeight="1">
      <x:c r="A382" s="1" t="str">
        <x:v>O0377</x:v>
      </x:c>
      <x:c r="B382" s="1" t="str">
        <x:v>Simulated Noida Management Institute 377</x:v>
      </x:c>
      <x:c r="C382" s="1" t="str">
        <x:v>North</x:v>
      </x:c>
      <x:c r="D382" s="1" t="str">
        <x:v>Prospect Identified</x:v>
      </x:c>
      <x:c r="E382" s="1" t="str">
        <x:v>Open</x:v>
      </x:c>
      <x:c r="F382" s="7" t="n">
        <x:v>100000</x:v>
      </x:c>
      <x:c r="G382" s="8" t="d">
        <x:v>2026-04-14T00:00:00.000Z</x:v>
      </x:c>
      <x:c r="H382" s="8" t="d">
        <x:v>2026-08-14T00:00:00.000Z</x:v>
      </x:c>
      <x:c r="I382" s="8"/>
      <x:c r="J382" s="7" t="n">
        <x:v>0</x:v>
      </x:c>
      <x:c r="K382" s="1" t="n">
        <x:v>44.46</x:v>
      </x:c>
      <x:c r="L382" s="1" t="n">
        <x:v>0</x:v>
      </x:c>
      <x:c r="M382" s="1" t="n">
        <x:v>169</x:v>
      </x:c>
      <x:c r="N382" s="1"/>
      <x:c r="O382" s="1"/>
      <x:c r="P382" s="1"/>
      <x:c r="Q382" s="1"/>
    </x:row>
    <x:row r="383" ht="22" customHeight="1">
      <x:c r="A383" s="1" t="str">
        <x:v>O0378</x:v>
      </x:c>
      <x:c r="B383" s="1" t="str">
        <x:v>Simulated Gurugram Engineering College 378</x:v>
      </x:c>
      <x:c r="C383" s="1" t="str">
        <x:v>North</x:v>
      </x:c>
      <x:c r="D383" s="1" t="str">
        <x:v>Proposal Sent</x:v>
      </x:c>
      <x:c r="E383" s="1" t="str">
        <x:v>Open</x:v>
      </x:c>
      <x:c r="F383" s="7" t="n">
        <x:v>147000</x:v>
      </x:c>
      <x:c r="G383" s="8" t="d">
        <x:v>2026-01-08T00:00:00.000Z</x:v>
      </x:c>
      <x:c r="H383" s="8" t="d">
        <x:v>2026-05-04T00:00:00.000Z</x:v>
      </x:c>
      <x:c r="I383" s="8"/>
      <x:c r="J383" s="7" t="n">
        <x:v>0</x:v>
      </x:c>
      <x:c r="K383" s="1" t="n">
        <x:v>36.59</x:v>
      </x:c>
      <x:c r="L383" s="1" t="n">
        <x:v>1</x:v>
      </x:c>
      <x:c r="M383" s="1" t="n">
        <x:v>181</x:v>
      </x:c>
      <x:c r="N383" s="1"/>
      <x:c r="O383" s="1"/>
      <x:c r="P383" s="1"/>
      <x:c r="Q383" s="1"/>
    </x:row>
    <x:row r="384" ht="22" customHeight="1">
      <x:c r="A384" s="1" t="str">
        <x:v>O0379</x:v>
      </x:c>
      <x:c r="B384" s="1" t="str">
        <x:v>Simulated Ludhiana Management Institute 379</x:v>
      </x:c>
      <x:c r="C384" s="1" t="str">
        <x:v>North</x:v>
      </x:c>
      <x:c r="D384" s="1" t="str">
        <x:v>Prospect Identified</x:v>
      </x:c>
      <x:c r="E384" s="1" t="str">
        <x:v>Open</x:v>
      </x:c>
      <x:c r="F384" s="7" t="n">
        <x:v>365000</x:v>
      </x:c>
      <x:c r="G384" s="8" t="d">
        <x:v>2026-09-23T00:00:00.000Z</x:v>
      </x:c>
      <x:c r="H384" s="8" t="d">
        <x:v>2027-02-14T00:00:00.000Z</x:v>
      </x:c>
      <x:c r="I384" s="8"/>
      <x:c r="J384" s="7" t="n">
        <x:v>0</x:v>
      </x:c>
      <x:c r="K384" s="1" t="n">
        <x:v>45.82</x:v>
      </x:c>
      <x:c r="L384" s="1" t="n">
        <x:v>0</x:v>
      </x:c>
      <x:c r="M384" s="1" t="n">
        <x:v>7</x:v>
      </x:c>
      <x:c r="N384" s="1"/>
      <x:c r="O384" s="1"/>
      <x:c r="P384" s="1"/>
      <x:c r="Q384" s="1"/>
    </x:row>
    <x:row r="385" ht="22" customHeight="1">
      <x:c r="A385" s="1" t="str">
        <x:v>O0380</x:v>
      </x:c>
      <x:c r="B385" s="1" t="str">
        <x:v>Simulated Pune University 380</x:v>
      </x:c>
      <x:c r="C385" s="1" t="str">
        <x:v>West</x:v>
      </x:c>
      <x:c r="D385" s="1" t="str">
        <x:v>Closed Won</x:v>
      </x:c>
      <x:c r="E385" s="1" t="str">
        <x:v>Won</x:v>
      </x:c>
      <x:c r="F385" s="7" t="n">
        <x:v>836000</x:v>
      </x:c>
      <x:c r="G385" s="8" t="d">
        <x:v>2026-01-21T00:00:00.000Z</x:v>
      </x:c>
      <x:c r="H385" s="8" t="d">
        <x:v>2026-05-04T00:00:00.000Z</x:v>
      </x:c>
      <x:c r="I385" s="8" t="d">
        <x:v>2026-07-07T00:00:00.000Z</x:v>
      </x:c>
      <x:c r="J385" s="7" t="n">
        <x:v>196975.34</x:v>
      </x:c>
      <x:c r="K385" s="1" t="n">
        <x:v>0</x:v>
      </x:c>
      <x:c r="L385" s="1" t="n">
        <x:v>0</x:v>
      </x:c>
      <x:c r="M385" s="1" t="n">
        <x:v>85</x:v>
      </x:c>
      <x:c r="N385" s="1"/>
      <x:c r="O385" s="1"/>
      <x:c r="P385" s="1"/>
      <x:c r="Q385" s="1"/>
    </x:row>
    <x:row r="386" ht="22" customHeight="1">
      <x:c r="A386" s="1" t="str">
        <x:v>O0381</x:v>
      </x:c>
      <x:c r="B386" s="1" t="str">
        <x:v>Simulated Ahmedabad Engineering College 381</x:v>
      </x:c>
      <x:c r="C386" s="1" t="str">
        <x:v>West</x:v>
      </x:c>
      <x:c r="D386" s="1" t="str">
        <x:v>Prospect Identified</x:v>
      </x:c>
      <x:c r="E386" s="1" t="str">
        <x:v>Open</x:v>
      </x:c>
      <x:c r="F386" s="7" t="n">
        <x:v>122000</x:v>
      </x:c>
      <x:c r="G386" s="8" t="d">
        <x:v>2026-09-30T00:00:00.000Z</x:v>
      </x:c>
      <x:c r="H386" s="8" t="d">
        <x:v>2027-02-18T00:00:00.000Z</x:v>
      </x:c>
      <x:c r="I386" s="8"/>
      <x:c r="J386" s="7" t="n">
        <x:v>0</x:v>
      </x:c>
      <x:c r="K386" s="1" t="n">
        <x:v>45.98</x:v>
      </x:c>
      <x:c r="L386" s="1" t="n">
        <x:v>0</x:v>
      </x:c>
      <x:c r="M386" s="1" t="n">
        <x:v>0</x:v>
      </x:c>
      <x:c r="N386" s="1"/>
      <x:c r="O386" s="1"/>
      <x:c r="P386" s="1"/>
      <x:c r="Q386" s="1"/>
    </x:row>
    <x:row r="387" ht="22" customHeight="1">
      <x:c r="A387" s="1" t="str">
        <x:v>O0382</x:v>
      </x:c>
      <x:c r="B387" s="1" t="str">
        <x:v>Simulated Jaipur University 382</x:v>
      </x:c>
      <x:c r="C387" s="1" t="str">
        <x:v>West</x:v>
      </x:c>
      <x:c r="D387" s="1" t="str">
        <x:v>Closed Lost</x:v>
      </x:c>
      <x:c r="E387" s="1" t="str">
        <x:v>Lost</x:v>
      </x:c>
      <x:c r="F387" s="7" t="n">
        <x:v>654000</x:v>
      </x:c>
      <x:c r="G387" s="8" t="d">
        <x:v>2025-11-25T00:00:00.000Z</x:v>
      </x:c>
      <x:c r="H387" s="8" t="d">
        <x:v>2026-03-06T00:00:00.000Z</x:v>
      </x:c>
      <x:c r="I387" s="8" t="d">
        <x:v>2026-03-25T00:00:00.000Z</x:v>
      </x:c>
      <x:c r="J387" s="7" t="n">
        <x:v>0</x:v>
      </x:c>
      <x:c r="K387" s="1" t="n">
        <x:v>0</x:v>
      </x:c>
      <x:c r="L387" s="1" t="n">
        <x:v>0</x:v>
      </x:c>
      <x:c r="M387" s="1" t="n">
        <x:v>189</x:v>
      </x:c>
      <x:c r="N387" s="1"/>
      <x:c r="O387" s="1"/>
      <x:c r="P387" s="1"/>
      <x:c r="Q387" s="1"/>
    </x:row>
    <x:row r="388" ht="22" customHeight="1">
      <x:c r="A388" s="1" t="str">
        <x:v>O0383</x:v>
      </x:c>
      <x:c r="B388" s="1" t="str">
        <x:v>Simulated Bengaluru Management Institute 383</x:v>
      </x:c>
      <x:c r="C388" s="1" t="str">
        <x:v>South</x:v>
      </x:c>
      <x:c r="D388" s="1" t="str">
        <x:v>Qualified</x:v>
      </x:c>
      <x:c r="E388" s="1" t="str">
        <x:v>Open</x:v>
      </x:c>
      <x:c r="F388" s="7" t="n">
        <x:v>158000</x:v>
      </x:c>
      <x:c r="G388" s="8" t="d">
        <x:v>2026-09-15T00:00:00.000Z</x:v>
      </x:c>
      <x:c r="H388" s="8" t="d">
        <x:v>2026-12-10T00:00:00.000Z</x:v>
      </x:c>
      <x:c r="I388" s="8"/>
      <x:c r="J388" s="7" t="n">
        <x:v>0</x:v>
      </x:c>
      <x:c r="K388" s="1" t="n">
        <x:v>46.81</x:v>
      </x:c>
      <x:c r="L388" s="1" t="n">
        <x:v>0</x:v>
      </x:c>
      <x:c r="M388" s="1" t="n">
        <x:v>5</x:v>
      </x:c>
      <x:c r="N388" s="1"/>
      <x:c r="O388" s="1"/>
      <x:c r="P388" s="1"/>
      <x:c r="Q388" s="1"/>
    </x:row>
    <x:row r="389" ht="22" customHeight="1">
      <x:c r="A389" s="1" t="str">
        <x:v>O0384</x:v>
      </x:c>
      <x:c r="B389" s="1" t="str">
        <x:v>Simulated Chennai Arts and Science College 384</x:v>
      </x:c>
      <x:c r="C389" s="1" t="str">
        <x:v>South</x:v>
      </x:c>
      <x:c r="D389" s="1" t="str">
        <x:v>Qualified</x:v>
      </x:c>
      <x:c r="E389" s="1" t="str">
        <x:v>Open</x:v>
      </x:c>
      <x:c r="F389" s="7" t="n">
        <x:v>318000</x:v>
      </x:c>
      <x:c r="G389" s="8" t="d">
        <x:v>2025-11-17T00:00:00.000Z</x:v>
      </x:c>
      <x:c r="H389" s="8" t="d">
        <x:v>2026-03-30T00:00:00.000Z</x:v>
      </x:c>
      <x:c r="I389" s="8"/>
      <x:c r="J389" s="7" t="n">
        <x:v>0</x:v>
      </x:c>
      <x:c r="K389" s="1" t="n">
        <x:v>46.9</x:v>
      </x:c>
      <x:c r="L389" s="1" t="n">
        <x:v>1</x:v>
      </x:c>
      <x:c r="M389" s="1" t="n">
        <x:v>286</x:v>
      </x:c>
      <x:c r="N389" s="1"/>
      <x:c r="O389" s="1"/>
      <x:c r="P389" s="1"/>
      <x:c r="Q389" s="1"/>
    </x:row>
    <x:row r="390" ht="22" customHeight="1">
      <x:c r="A390" s="1" t="str">
        <x:v>O0385</x:v>
      </x:c>
      <x:c r="B390" s="1" t="str">
        <x:v>Simulated Hyderabad Arts and Science College 385</x:v>
      </x:c>
      <x:c r="C390" s="1" t="str">
        <x:v>South</x:v>
      </x:c>
      <x:c r="D390" s="1" t="str">
        <x:v>Prospect Identified</x:v>
      </x:c>
      <x:c r="E390" s="1" t="str">
        <x:v>Open</x:v>
      </x:c>
      <x:c r="F390" s="7" t="n">
        <x:v>130000</x:v>
      </x:c>
      <x:c r="G390" s="8" t="d">
        <x:v>2026-02-02T00:00:00.000Z</x:v>
      </x:c>
      <x:c r="H390" s="8" t="d">
        <x:v>2026-05-24T00:00:00.000Z</x:v>
      </x:c>
      <x:c r="I390" s="8"/>
      <x:c r="J390" s="7" t="n">
        <x:v>0</x:v>
      </x:c>
      <x:c r="K390" s="1" t="n">
        <x:v>45.16</x:v>
      </x:c>
      <x:c r="L390" s="1" t="n">
        <x:v>0</x:v>
      </x:c>
      <x:c r="M390" s="1" t="n">
        <x:v>240</x:v>
      </x:c>
      <x:c r="N390" s="1"/>
      <x:c r="O390" s="1"/>
      <x:c r="P390" s="1"/>
      <x:c r="Q390" s="1"/>
    </x:row>
    <x:row r="391" ht="22" customHeight="1">
      <x:c r="A391" s="1" t="str">
        <x:v>O0386</x:v>
      </x:c>
      <x:c r="B391" s="1" t="str">
        <x:v>Simulated Kolkata Arts and Science College 386</x:v>
      </x:c>
      <x:c r="C391" s="1" t="str">
        <x:v>East</x:v>
      </x:c>
      <x:c r="D391" s="1" t="str">
        <x:v>Prospect Identified</x:v>
      </x:c>
      <x:c r="E391" s="1" t="str">
        <x:v>Open</x:v>
      </x:c>
      <x:c r="F391" s="7" t="n">
        <x:v>275000</x:v>
      </x:c>
      <x:c r="G391" s="8" t="d">
        <x:v>2026-09-05T00:00:00.000Z</x:v>
      </x:c>
      <x:c r="H391" s="8" t="d">
        <x:v>2026-12-24T00:00:00.000Z</x:v>
      </x:c>
      <x:c r="I391" s="8"/>
      <x:c r="J391" s="7" t="n">
        <x:v>0</x:v>
      </x:c>
      <x:c r="K391" s="1" t="n">
        <x:v>46.91</x:v>
      </x:c>
      <x:c r="L391" s="1" t="n">
        <x:v>0</x:v>
      </x:c>
      <x:c r="M391" s="1" t="n">
        <x:v>25</x:v>
      </x:c>
      <x:c r="N391" s="1"/>
      <x:c r="O391" s="1"/>
      <x:c r="P391" s="1"/>
      <x:c r="Q391" s="1"/>
    </x:row>
    <x:row r="392" ht="22" customHeight="1">
      <x:c r="A392" s="1" t="str">
        <x:v>O0387</x:v>
      </x:c>
      <x:c r="B392" s="1" t="str">
        <x:v>Simulated Bhubaneswar Management Institute 387</x:v>
      </x:c>
      <x:c r="C392" s="1" t="str">
        <x:v>East</x:v>
      </x:c>
      <x:c r="D392" s="1" t="str">
        <x:v>Meeting Scheduled</x:v>
      </x:c>
      <x:c r="E392" s="1" t="str">
        <x:v>Open</x:v>
      </x:c>
      <x:c r="F392" s="7" t="n">
        <x:v>138000</x:v>
      </x:c>
      <x:c r="G392" s="8" t="d">
        <x:v>2026-05-23T00:00:00.000Z</x:v>
      </x:c>
      <x:c r="H392" s="8" t="d">
        <x:v>2026-10-07T00:00:00.000Z</x:v>
      </x:c>
      <x:c r="I392" s="8"/>
      <x:c r="J392" s="7" t="n">
        <x:v>0</x:v>
      </x:c>
      <x:c r="K392" s="1" t="n">
        <x:v>44.76</x:v>
      </x:c>
      <x:c r="L392" s="1" t="n">
        <x:v>1</x:v>
      </x:c>
      <x:c r="M392" s="1" t="n">
        <x:v>75</x:v>
      </x:c>
      <x:c r="N392" s="1"/>
      <x:c r="O392" s="1"/>
      <x:c r="P392" s="1"/>
      <x:c r="Q392" s="1"/>
    </x:row>
    <x:row r="393" ht="22" customHeight="1">
      <x:c r="A393" s="1" t="str">
        <x:v>O0388</x:v>
      </x:c>
      <x:c r="B393" s="1" t="str">
        <x:v>Simulated Patna Arts and Science College 388</x:v>
      </x:c>
      <x:c r="C393" s="1" t="str">
        <x:v>East</x:v>
      </x:c>
      <x:c r="D393" s="1" t="str">
        <x:v>Qualified</x:v>
      </x:c>
      <x:c r="E393" s="1" t="str">
        <x:v>Open</x:v>
      </x:c>
      <x:c r="F393" s="7" t="n">
        <x:v>182000</x:v>
      </x:c>
      <x:c r="G393" s="8" t="d">
        <x:v>2026-03-17T00:00:00.000Z</x:v>
      </x:c>
      <x:c r="H393" s="8" t="d">
        <x:v>2026-06-10T00:00:00.000Z</x:v>
      </x:c>
      <x:c r="I393" s="8"/>
      <x:c r="J393" s="7" t="n">
        <x:v>0</x:v>
      </x:c>
      <x:c r="K393" s="1" t="n">
        <x:v>37.11</x:v>
      </x:c>
      <x:c r="L393" s="1" t="n">
        <x:v>1</x:v>
      </x:c>
      <x:c r="M393" s="1" t="n">
        <x:v>172</x:v>
      </x:c>
      <x:c r="N393" s="1"/>
      <x:c r="O393" s="1"/>
      <x:c r="P393" s="1"/>
      <x:c r="Q393" s="1"/>
    </x:row>
    <x:row r="394" ht="22" customHeight="1">
      <x:c r="A394" s="1" t="str">
        <x:v>O0389</x:v>
      </x:c>
      <x:c r="B394" s="1" t="str">
        <x:v>Simulated Guwahati Arts and Science College 389</x:v>
      </x:c>
      <x:c r="C394" s="1" t="str">
        <x:v>Northeast</x:v>
      </x:c>
      <x:c r="D394" s="1" t="str">
        <x:v>Prospect Identified</x:v>
      </x:c>
      <x:c r="E394" s="1" t="str">
        <x:v>Open</x:v>
      </x:c>
      <x:c r="F394" s="7" t="n">
        <x:v>208000</x:v>
      </x:c>
      <x:c r="G394" s="8" t="d">
        <x:v>2026-05-11T00:00:00.000Z</x:v>
      </x:c>
      <x:c r="H394" s="8" t="d">
        <x:v>2026-09-01T00:00:00.000Z</x:v>
      </x:c>
      <x:c r="I394" s="8"/>
      <x:c r="J394" s="7" t="n">
        <x:v>0</x:v>
      </x:c>
      <x:c r="K394" s="1" t="n">
        <x:v>23.44</x:v>
      </x:c>
      <x:c r="L394" s="1" t="n">
        <x:v>1</x:v>
      </x:c>
      <x:c r="M394" s="1" t="n">
        <x:v>142</x:v>
      </x:c>
      <x:c r="N394" s="1"/>
      <x:c r="O394" s="1"/>
      <x:c r="P394" s="1"/>
      <x:c r="Q394" s="1"/>
    </x:row>
    <x:row r="395" ht="22" customHeight="1">
      <x:c r="A395" s="1" t="str">
        <x:v>O0390</x:v>
      </x:c>
      <x:c r="B395" s="1" t="str">
        <x:v>Simulated Indore Arts and Science College 390</x:v>
      </x:c>
      <x:c r="C395" s="1" t="str">
        <x:v>Central</x:v>
      </x:c>
      <x:c r="D395" s="1" t="str">
        <x:v>Closed Lost</x:v>
      </x:c>
      <x:c r="E395" s="1" t="str">
        <x:v>Lost</x:v>
      </x:c>
      <x:c r="F395" s="7" t="n">
        <x:v>362000</x:v>
      </x:c>
      <x:c r="G395" s="8" t="d">
        <x:v>2025-11-10T00:00:00.000Z</x:v>
      </x:c>
      <x:c r="H395" s="8" t="d">
        <x:v>2026-02-08T00:00:00.000Z</x:v>
      </x:c>
      <x:c r="I395" s="8" t="d">
        <x:v>2025-11-23T00:00:00.000Z</x:v>
      </x:c>
      <x:c r="J395" s="7" t="n">
        <x:v>0</x:v>
      </x:c>
      <x:c r="K395" s="1" t="n">
        <x:v>0</x:v>
      </x:c>
      <x:c r="L395" s="1" t="n">
        <x:v>0</x:v>
      </x:c>
      <x:c r="M395" s="1" t="n">
        <x:v>311</x:v>
      </x:c>
      <x:c r="N395" s="1"/>
      <x:c r="O395" s="1"/>
      <x:c r="P395" s="1"/>
      <x:c r="Q395" s="1"/>
    </x:row>
    <x:row r="396" ht="22" customHeight="1">
      <x:c r="A396" s="1" t="str">
        <x:v>O0391</x:v>
      </x:c>
      <x:c r="B396" s="1" t="str">
        <x:v>Simulated New Delhi University 391</x:v>
      </x:c>
      <x:c r="C396" s="1" t="str">
        <x:v>North</x:v>
      </x:c>
      <x:c r="D396" s="1" t="str">
        <x:v>Prospect Identified</x:v>
      </x:c>
      <x:c r="E396" s="1" t="str">
        <x:v>Open</x:v>
      </x:c>
      <x:c r="F396" s="7" t="n">
        <x:v>741000</x:v>
      </x:c>
      <x:c r="G396" s="8" t="d">
        <x:v>2025-11-26T00:00:00.000Z</x:v>
      </x:c>
      <x:c r="H396" s="8" t="d">
        <x:v>2026-02-15T00:00:00.000Z</x:v>
      </x:c>
      <x:c r="I396" s="8"/>
      <x:c r="J396" s="7" t="n">
        <x:v>0</x:v>
      </x:c>
      <x:c r="K396" s="1" t="n">
        <x:v>50.24</x:v>
      </x:c>
      <x:c r="L396" s="1" t="n">
        <x:v>1</x:v>
      </x:c>
      <x:c r="M396" s="1" t="n">
        <x:v>308</x:v>
      </x:c>
      <x:c r="N396" s="1"/>
      <x:c r="O396" s="1"/>
      <x:c r="P396" s="1"/>
      <x:c r="Q396" s="1"/>
    </x:row>
    <x:row r="397" ht="22" customHeight="1">
      <x:c r="A397" s="1" t="str">
        <x:v>O0392</x:v>
      </x:c>
      <x:c r="B397" s="1" t="str">
        <x:v>Simulated Noida Management Institute 392</x:v>
      </x:c>
      <x:c r="C397" s="1" t="str">
        <x:v>North</x:v>
      </x:c>
      <x:c r="D397" s="1" t="str">
        <x:v>Closed Won</x:v>
      </x:c>
      <x:c r="E397" s="1" t="str">
        <x:v>Won</x:v>
      </x:c>
      <x:c r="F397" s="7" t="n">
        <x:v>245000</x:v>
      </x:c>
      <x:c r="G397" s="8" t="d">
        <x:v>2026-02-05T00:00:00.000Z</x:v>
      </x:c>
      <x:c r="H397" s="8" t="d">
        <x:v>2026-05-23T00:00:00.000Z</x:v>
      </x:c>
      <x:c r="I397" s="8" t="d">
        <x:v>2026-07-11T00:00:00.000Z</x:v>
      </x:c>
      <x:c r="J397" s="7" t="n">
        <x:v>55041.1</x:v>
      </x:c>
      <x:c r="K397" s="1" t="n">
        <x:v>0</x:v>
      </x:c>
      <x:c r="L397" s="1" t="n">
        <x:v>0</x:v>
      </x:c>
      <x:c r="M397" s="1" t="n">
        <x:v>81</x:v>
      </x:c>
      <x:c r="N397" s="1"/>
      <x:c r="O397" s="1"/>
      <x:c r="P397" s="1"/>
      <x:c r="Q397" s="1"/>
    </x:row>
    <x:row r="398" ht="22" customHeight="1">
      <x:c r="A398" s="1" t="str">
        <x:v>O0393</x:v>
      </x:c>
      <x:c r="B398" s="1" t="str">
        <x:v>Simulated Gurugram Arts and Science College 393</x:v>
      </x:c>
      <x:c r="C398" s="1" t="str">
        <x:v>North</x:v>
      </x:c>
      <x:c r="D398" s="1" t="str">
        <x:v>Proposal Sent</x:v>
      </x:c>
      <x:c r="E398" s="1" t="str">
        <x:v>Open</x:v>
      </x:c>
      <x:c r="F398" s="7" t="n">
        <x:v>127000</x:v>
      </x:c>
      <x:c r="G398" s="8" t="d">
        <x:v>2026-07-17T00:00:00.000Z</x:v>
      </x:c>
      <x:c r="H398" s="8" t="d">
        <x:v>2026-11-11T00:00:00.000Z</x:v>
      </x:c>
      <x:c r="I398" s="8"/>
      <x:c r="J398" s="7" t="n">
        <x:v>0</x:v>
      </x:c>
      <x:c r="K398" s="1" t="n">
        <x:v>54.25</x:v>
      </x:c>
      <x:c r="L398" s="1" t="n">
        <x:v>0</x:v>
      </x:c>
      <x:c r="M398" s="1" t="n">
        <x:v>13</x:v>
      </x:c>
      <x:c r="N398" s="1"/>
      <x:c r="O398" s="1"/>
      <x:c r="P398" s="1"/>
      <x:c r="Q398" s="1"/>
    </x:row>
    <x:row r="399" ht="22" customHeight="1">
      <x:c r="A399" s="1" t="str">
        <x:v>O0394</x:v>
      </x:c>
      <x:c r="B399" s="1" t="str">
        <x:v>Simulated Ludhiana Management Institute 394</x:v>
      </x:c>
      <x:c r="C399" s="1" t="str">
        <x:v>North</x:v>
      </x:c>
      <x:c r="D399" s="1" t="str">
        <x:v>Initial Contact</x:v>
      </x:c>
      <x:c r="E399" s="1" t="str">
        <x:v>Open</x:v>
      </x:c>
      <x:c r="F399" s="7" t="n">
        <x:v>182000</x:v>
      </x:c>
      <x:c r="G399" s="8" t="d">
        <x:v>2025-10-15T00:00:00.000Z</x:v>
      </x:c>
      <x:c r="H399" s="8" t="d">
        <x:v>2026-03-14T00:00:00.000Z</x:v>
      </x:c>
      <x:c r="I399" s="8"/>
      <x:c r="J399" s="7" t="n">
        <x:v>0</x:v>
      </x:c>
      <x:c r="K399" s="1" t="n">
        <x:v>56.9</x:v>
      </x:c>
      <x:c r="L399" s="1" t="n">
        <x:v>1</x:v>
      </x:c>
      <x:c r="M399" s="1" t="n">
        <x:v>327</x:v>
      </x:c>
      <x:c r="N399" s="1"/>
      <x:c r="O399" s="1"/>
      <x:c r="P399" s="1"/>
      <x:c r="Q399" s="1"/>
    </x:row>
    <x:row r="400" ht="22" customHeight="1">
      <x:c r="A400" s="1" t="str">
        <x:v>O0395</x:v>
      </x:c>
      <x:c r="B400" s="1" t="str">
        <x:v>Simulated Pune Arts and Science College 395</x:v>
      </x:c>
      <x:c r="C400" s="1" t="str">
        <x:v>West</x:v>
      </x:c>
      <x:c r="D400" s="1" t="str">
        <x:v>Closed Lost</x:v>
      </x:c>
      <x:c r="E400" s="1" t="str">
        <x:v>Lost</x:v>
      </x:c>
      <x:c r="F400" s="7" t="n">
        <x:v>375000</x:v>
      </x:c>
      <x:c r="G400" s="8" t="d">
        <x:v>2025-11-02T00:00:00.000Z</x:v>
      </x:c>
      <x:c r="H400" s="8" t="d">
        <x:v>2026-03-04T00:00:00.000Z</x:v>
      </x:c>
      <x:c r="I400" s="8" t="d">
        <x:v>2026-01-04T00:00:00.000Z</x:v>
      </x:c>
      <x:c r="J400" s="7" t="n">
        <x:v>0</x:v>
      </x:c>
      <x:c r="K400" s="1" t="n">
        <x:v>0</x:v>
      </x:c>
      <x:c r="L400" s="1" t="n">
        <x:v>0</x:v>
      </x:c>
      <x:c r="M400" s="1" t="n">
        <x:v>269</x:v>
      </x:c>
      <x:c r="N400" s="1"/>
      <x:c r="O400" s="1"/>
      <x:c r="P400" s="1"/>
      <x:c r="Q400" s="1"/>
    </x:row>
    <x:row r="401" ht="22" customHeight="1">
      <x:c r="A401" s="1" t="str">
        <x:v>O0396</x:v>
      </x:c>
      <x:c r="B401" s="1" t="str">
        <x:v>Simulated Ahmedabad University 396</x:v>
      </x:c>
      <x:c r="C401" s="1" t="str">
        <x:v>West</x:v>
      </x:c>
      <x:c r="D401" s="1" t="str">
        <x:v>Closed Lost</x:v>
      </x:c>
      <x:c r="E401" s="1" t="str">
        <x:v>Lost</x:v>
      </x:c>
      <x:c r="F401" s="7" t="n">
        <x:v>279000</x:v>
      </x:c>
      <x:c r="G401" s="8" t="d">
        <x:v>2025-11-14T00:00:00.000Z</x:v>
      </x:c>
      <x:c r="H401" s="8" t="d">
        <x:v>2026-03-22T00:00:00.000Z</x:v>
      </x:c>
      <x:c r="I401" s="8" t="d">
        <x:v>2025-12-07T00:00:00.000Z</x:v>
      </x:c>
      <x:c r="J401" s="7" t="n">
        <x:v>0</x:v>
      </x:c>
      <x:c r="K401" s="1" t="n">
        <x:v>0</x:v>
      </x:c>
      <x:c r="L401" s="1" t="n">
        <x:v>0</x:v>
      </x:c>
      <x:c r="M401" s="1" t="n">
        <x:v>297</x:v>
      </x:c>
      <x:c r="N401" s="1"/>
      <x:c r="O401" s="1"/>
      <x:c r="P401" s="1"/>
      <x:c r="Q401" s="1"/>
    </x:row>
    <x:row r="402" ht="22" customHeight="1">
      <x:c r="A402" s="1" t="str">
        <x:v>O0397</x:v>
      </x:c>
      <x:c r="B402" s="1" t="str">
        <x:v>Simulated Jaipur University 397</x:v>
      </x:c>
      <x:c r="C402" s="1" t="str">
        <x:v>West</x:v>
      </x:c>
      <x:c r="D402" s="1" t="str">
        <x:v>Qualified</x:v>
      </x:c>
      <x:c r="E402" s="1" t="str">
        <x:v>Open</x:v>
      </x:c>
      <x:c r="F402" s="7" t="n">
        <x:v>714000</x:v>
      </x:c>
      <x:c r="G402" s="8" t="d">
        <x:v>2026-02-24T00:00:00.000Z</x:v>
      </x:c>
      <x:c r="H402" s="8" t="d">
        <x:v>2026-06-04T00:00:00.000Z</x:v>
      </x:c>
      <x:c r="I402" s="8"/>
      <x:c r="J402" s="7" t="n">
        <x:v>0</x:v>
      </x:c>
      <x:c r="K402" s="1" t="n">
        <x:v>62.94</x:v>
      </x:c>
      <x:c r="L402" s="1" t="n">
        <x:v>1</x:v>
      </x:c>
      <x:c r="M402" s="1" t="n">
        <x:v>208</x:v>
      </x:c>
      <x:c r="N402" s="1"/>
      <x:c r="O402" s="1"/>
      <x:c r="P402" s="1"/>
      <x:c r="Q402" s="1"/>
    </x:row>
    <x:row r="403" ht="22" customHeight="1">
      <x:c r="A403" s="1" t="str">
        <x:v>O0398</x:v>
      </x:c>
      <x:c r="B403" s="1" t="str">
        <x:v>Simulated Bengaluru Arts and Science College 398</x:v>
      </x:c>
      <x:c r="C403" s="1" t="str">
        <x:v>South</x:v>
      </x:c>
      <x:c r="D403" s="1" t="str">
        <x:v>Closed Lost</x:v>
      </x:c>
      <x:c r="E403" s="1" t="str">
        <x:v>Lost</x:v>
      </x:c>
      <x:c r="F403" s="7" t="n">
        <x:v>294000</x:v>
      </x:c>
      <x:c r="G403" s="8" t="d">
        <x:v>2025-11-04T00:00:00.000Z</x:v>
      </x:c>
      <x:c r="H403" s="8" t="d">
        <x:v>2026-02-19T00:00:00.000Z</x:v>
      </x:c>
      <x:c r="I403" s="8" t="d">
        <x:v>2026-02-16T00:00:00.000Z</x:v>
      </x:c>
      <x:c r="J403" s="7" t="n">
        <x:v>0</x:v>
      </x:c>
      <x:c r="K403" s="1" t="n">
        <x:v>0</x:v>
      </x:c>
      <x:c r="L403" s="1" t="n">
        <x:v>0</x:v>
      </x:c>
      <x:c r="M403" s="1" t="n">
        <x:v>226</x:v>
      </x:c>
      <x:c r="N403" s="1"/>
      <x:c r="O403" s="1"/>
      <x:c r="P403" s="1"/>
      <x:c r="Q403" s="1"/>
    </x:row>
    <x:row r="404" ht="22" customHeight="1">
      <x:c r="A404" s="1" t="str">
        <x:v>O0399</x:v>
      </x:c>
      <x:c r="B404" s="1" t="str">
        <x:v>Simulated Chennai University 399</x:v>
      </x:c>
      <x:c r="C404" s="1" t="str">
        <x:v>South</x:v>
      </x:c>
      <x:c r="D404" s="1" t="str">
        <x:v>Prospect Identified</x:v>
      </x:c>
      <x:c r="E404" s="1" t="str">
        <x:v>Open</x:v>
      </x:c>
      <x:c r="F404" s="7" t="n">
        <x:v>379000</x:v>
      </x:c>
      <x:c r="G404" s="8" t="d">
        <x:v>2026-05-10T00:00:00.000Z</x:v>
      </x:c>
      <x:c r="H404" s="8" t="d">
        <x:v>2026-08-11T00:00:00.000Z</x:v>
      </x:c>
      <x:c r="I404" s="8"/>
      <x:c r="J404" s="7" t="n">
        <x:v>0</x:v>
      </x:c>
      <x:c r="K404" s="1" t="n">
        <x:v>55.55</x:v>
      </x:c>
      <x:c r="L404" s="1" t="n">
        <x:v>1</x:v>
      </x:c>
      <x:c r="M404" s="1" t="n">
        <x:v>143</x:v>
      </x:c>
      <x:c r="N404" s="1"/>
      <x:c r="O404" s="1"/>
      <x:c r="P404" s="1"/>
      <x:c r="Q404" s="1"/>
    </x:row>
    <x:row r="405" ht="22" customHeight="1">
      <x:c r="A405" s="1" t="str">
        <x:v>O0400</x:v>
      </x:c>
      <x:c r="B405" s="1" t="str">
        <x:v>Simulated Hyderabad University 400</x:v>
      </x:c>
      <x:c r="C405" s="1" t="str">
        <x:v>South</x:v>
      </x:c>
      <x:c r="D405" s="1" t="str">
        <x:v>Initial Contact</x:v>
      </x:c>
      <x:c r="E405" s="1" t="str">
        <x:v>Open</x:v>
      </x:c>
      <x:c r="F405" s="7" t="n">
        <x:v>270000</x:v>
      </x:c>
      <x:c r="G405" s="8" t="d">
        <x:v>2025-11-27T00:00:00.000Z</x:v>
      </x:c>
      <x:c r="H405" s="8" t="d">
        <x:v>2026-03-21T00:00:00.000Z</x:v>
      </x:c>
      <x:c r="I405" s="8"/>
      <x:c r="J405" s="7" t="n">
        <x:v>0</x:v>
      </x:c>
      <x:c r="K405" s="1" t="n">
        <x:v>57.34</x:v>
      </x:c>
      <x:c r="L405" s="1" t="n">
        <x:v>1</x:v>
      </x:c>
      <x:c r="M405" s="1" t="n">
        <x:v>279</x:v>
      </x:c>
      <x:c r="N405" s="1"/>
      <x:c r="O405" s="1"/>
      <x:c r="P405" s="1"/>
      <x:c r="Q405" s="1"/>
    </x:row>
    <x:row r="406" ht="22" customHeight="1">
      <x:c r="A406" s="1" t="str">
        <x:v>O0401</x:v>
      </x:c>
      <x:c r="B406" s="1" t="str">
        <x:v>Simulated Kolkata Management Institute 401</x:v>
      </x:c>
      <x:c r="C406" s="1" t="str">
        <x:v>East</x:v>
      </x:c>
      <x:c r="D406" s="1" t="str">
        <x:v>Initial Contact</x:v>
      </x:c>
      <x:c r="E406" s="1" t="str">
        <x:v>Open</x:v>
      </x:c>
      <x:c r="F406" s="7" t="n">
        <x:v>153000</x:v>
      </x:c>
      <x:c r="G406" s="8" t="d">
        <x:v>2025-10-29T00:00:00.000Z</x:v>
      </x:c>
      <x:c r="H406" s="8" t="d">
        <x:v>2026-03-09T00:00:00.000Z</x:v>
      </x:c>
      <x:c r="I406" s="8"/>
      <x:c r="J406" s="7" t="n">
        <x:v>0</x:v>
      </x:c>
      <x:c r="K406" s="1" t="n">
        <x:v>41.57</x:v>
      </x:c>
      <x:c r="L406" s="1" t="n">
        <x:v>1</x:v>
      </x:c>
      <x:c r="M406" s="1" t="n">
        <x:v>281</x:v>
      </x:c>
      <x:c r="N406" s="1"/>
      <x:c r="O406" s="1"/>
      <x:c r="P406" s="1"/>
      <x:c r="Q406" s="1"/>
    </x:row>
    <x:row r="407" ht="22" customHeight="1">
      <x:c r="A407" s="1" t="str">
        <x:v>O0402</x:v>
      </x:c>
      <x:c r="B407" s="1" t="str">
        <x:v>Simulated Bhubaneswar Engineering College 402</x:v>
      </x:c>
      <x:c r="C407" s="1" t="str">
        <x:v>East</x:v>
      </x:c>
      <x:c r="D407" s="1" t="str">
        <x:v>Meeting Scheduled</x:v>
      </x:c>
      <x:c r="E407" s="1" t="str">
        <x:v>Open</x:v>
      </x:c>
      <x:c r="F407" s="7" t="n">
        <x:v>157000</x:v>
      </x:c>
      <x:c r="G407" s="8" t="d">
        <x:v>2026-07-16T00:00:00.000Z</x:v>
      </x:c>
      <x:c r="H407" s="8" t="d">
        <x:v>2026-11-09T00:00:00.000Z</x:v>
      </x:c>
      <x:c r="I407" s="8"/>
      <x:c r="J407" s="7" t="n">
        <x:v>0</x:v>
      </x:c>
      <x:c r="K407" s="1" t="n">
        <x:v>41.51</x:v>
      </x:c>
      <x:c r="L407" s="1" t="n">
        <x:v>1</x:v>
      </x:c>
      <x:c r="M407" s="1" t="n">
        <x:v>4</x:v>
      </x:c>
      <x:c r="N407" s="1"/>
      <x:c r="O407" s="1"/>
      <x:c r="P407" s="1"/>
      <x:c r="Q407" s="1"/>
    </x:row>
    <x:row r="408" ht="22" customHeight="1">
      <x:c r="A408" s="1" t="str">
        <x:v>O0403</x:v>
      </x:c>
      <x:c r="B408" s="1" t="str">
        <x:v>Simulated Patna Management Institute 403</x:v>
      </x:c>
      <x:c r="C408" s="1" t="str">
        <x:v>East</x:v>
      </x:c>
      <x:c r="D408" s="1" t="str">
        <x:v>Prospect Identified</x:v>
      </x:c>
      <x:c r="E408" s="1" t="str">
        <x:v>Open</x:v>
      </x:c>
      <x:c r="F408" s="7" t="n">
        <x:v>111000</x:v>
      </x:c>
      <x:c r="G408" s="8" t="d">
        <x:v>2025-11-09T00:00:00.000Z</x:v>
      </x:c>
      <x:c r="H408" s="8" t="d">
        <x:v>2026-04-05T00:00:00.000Z</x:v>
      </x:c>
      <x:c r="I408" s="8"/>
      <x:c r="J408" s="7" t="n">
        <x:v>0</x:v>
      </x:c>
      <x:c r="K408" s="1" t="n">
        <x:v>34.87</x:v>
      </x:c>
      <x:c r="L408" s="1" t="n">
        <x:v>1</x:v>
      </x:c>
      <x:c r="M408" s="1" t="n">
        <x:v>325</x:v>
      </x:c>
      <x:c r="N408" s="1"/>
      <x:c r="O408" s="1"/>
      <x:c r="P408" s="1"/>
      <x:c r="Q408" s="1"/>
    </x:row>
    <x:row r="409" ht="22" customHeight="1">
      <x:c r="A409" s="1" t="str">
        <x:v>O0404</x:v>
      </x:c>
      <x:c r="B409" s="1" t="str">
        <x:v>Simulated Guwahati Engineering College 404</x:v>
      </x:c>
      <x:c r="C409" s="1" t="str">
        <x:v>Northeast</x:v>
      </x:c>
      <x:c r="D409" s="1" t="str">
        <x:v>Closed Won</x:v>
      </x:c>
      <x:c r="E409" s="1" t="str">
        <x:v>Won</x:v>
      </x:c>
      <x:c r="F409" s="7" t="n">
        <x:v>212000</x:v>
      </x:c>
      <x:c r="G409" s="8" t="d">
        <x:v>2026-03-03T00:00:00.000Z</x:v>
      </x:c>
      <x:c r="H409" s="8" t="d">
        <x:v>2026-06-19T00:00:00.000Z</x:v>
      </x:c>
      <x:c r="I409" s="8" t="d">
        <x:v>2026-07-14T00:00:00.000Z</x:v>
      </x:c>
      <x:c r="J409" s="7" t="n">
        <x:v>45884.93</x:v>
      </x:c>
      <x:c r="K409" s="1" t="n">
        <x:v>0</x:v>
      </x:c>
      <x:c r="L409" s="1" t="n">
        <x:v>0</x:v>
      </x:c>
      <x:c r="M409" s="1" t="n">
        <x:v>78</x:v>
      </x:c>
      <x:c r="N409" s="1"/>
      <x:c r="O409" s="1"/>
      <x:c r="P409" s="1"/>
      <x:c r="Q409" s="1"/>
    </x:row>
    <x:row r="410" ht="22" customHeight="1">
      <x:c r="A410" s="1" t="str">
        <x:v>O0405</x:v>
      </x:c>
      <x:c r="B410" s="1" t="str">
        <x:v>Simulated Indore Engineering College 405</x:v>
      </x:c>
      <x:c r="C410" s="1" t="str">
        <x:v>Central</x:v>
      </x:c>
      <x:c r="D410" s="1" t="str">
        <x:v>Closed Lost</x:v>
      </x:c>
      <x:c r="E410" s="1" t="str">
        <x:v>Lost</x:v>
      </x:c>
      <x:c r="F410" s="7" t="n">
        <x:v>199000</x:v>
      </x:c>
      <x:c r="G410" s="8" t="d">
        <x:v>2026-04-15T00:00:00.000Z</x:v>
      </x:c>
      <x:c r="H410" s="8" t="d">
        <x:v>2026-09-07T00:00:00.000Z</x:v>
      </x:c>
      <x:c r="I410" s="8" t="d">
        <x:v>2026-06-14T00:00:00.000Z</x:v>
      </x:c>
      <x:c r="J410" s="7" t="n">
        <x:v>0</x:v>
      </x:c>
      <x:c r="K410" s="1" t="n">
        <x:v>0</x:v>
      </x:c>
      <x:c r="L410" s="1" t="n">
        <x:v>0</x:v>
      </x:c>
      <x:c r="M410" s="1" t="n">
        <x:v>108</x:v>
      </x:c>
      <x:c r="N410" s="1"/>
      <x:c r="O410" s="1"/>
      <x:c r="P410" s="1"/>
      <x:c r="Q410" s="1"/>
    </x:row>
    <x:row r="411" ht="22" customHeight="1">
      <x:c r="A411" s="1" t="str">
        <x:v>O0406</x:v>
      </x:c>
      <x:c r="B411" s="1" t="str">
        <x:v>Simulated New Delhi University 406</x:v>
      </x:c>
      <x:c r="C411" s="1" t="str">
        <x:v>North</x:v>
      </x:c>
      <x:c r="D411" s="1" t="str">
        <x:v>Closed Won</x:v>
      </x:c>
      <x:c r="E411" s="1" t="str">
        <x:v>Won</x:v>
      </x:c>
      <x:c r="F411" s="7" t="n">
        <x:v>174000</x:v>
      </x:c>
      <x:c r="G411" s="8" t="d">
        <x:v>2026-02-14T00:00:00.000Z</x:v>
      </x:c>
      <x:c r="H411" s="8" t="d">
        <x:v>2026-07-01T00:00:00.000Z</x:v>
      </x:c>
      <x:c r="I411" s="8" t="d">
        <x:v>2026-07-04T00:00:00.000Z</x:v>
      </x:c>
      <x:c r="J411" s="7" t="n">
        <x:v>42427.4</x:v>
      </x:c>
      <x:c r="K411" s="1" t="n">
        <x:v>0</x:v>
      </x:c>
      <x:c r="L411" s="1" t="n">
        <x:v>0</x:v>
      </x:c>
      <x:c r="M411" s="1" t="n">
        <x:v>88</x:v>
      </x:c>
      <x:c r="N411" s="1"/>
      <x:c r="O411" s="1"/>
      <x:c r="P411" s="1"/>
      <x:c r="Q411" s="1"/>
    </x:row>
    <x:row r="412" ht="22" customHeight="1">
      <x:c r="A412" s="1" t="str">
        <x:v>O0407</x:v>
      </x:c>
      <x:c r="B412" s="1" t="str">
        <x:v>Simulated Noida Management Institute 407</x:v>
      </x:c>
      <x:c r="C412" s="1" t="str">
        <x:v>North</x:v>
      </x:c>
      <x:c r="D412" s="1" t="str">
        <x:v>Qualified</x:v>
      </x:c>
      <x:c r="E412" s="1" t="str">
        <x:v>Open</x:v>
      </x:c>
      <x:c r="F412" s="7" t="n">
        <x:v>265000</x:v>
      </x:c>
      <x:c r="G412" s="8" t="d">
        <x:v>2026-05-09T00:00:00.000Z</x:v>
      </x:c>
      <x:c r="H412" s="8" t="d">
        <x:v>2026-07-31T00:00:00.000Z</x:v>
      </x:c>
      <x:c r="I412" s="8"/>
      <x:c r="J412" s="7" t="n">
        <x:v>0</x:v>
      </x:c>
      <x:c r="K412" s="1" t="n">
        <x:v>38.16</x:v>
      </x:c>
      <x:c r="L412" s="1" t="n">
        <x:v>1</x:v>
      </x:c>
      <x:c r="M412" s="1" t="n">
        <x:v>124</x:v>
      </x:c>
      <x:c r="N412" s="1"/>
      <x:c r="O412" s="1"/>
      <x:c r="P412" s="1"/>
      <x:c r="Q412" s="1"/>
    </x:row>
    <x:row r="413" ht="22" customHeight="1">
      <x:c r="A413" s="1" t="str">
        <x:v>O0408</x:v>
      </x:c>
      <x:c r="B413" s="1" t="str">
        <x:v>Simulated Gurugram Engineering College 408</x:v>
      </x:c>
      <x:c r="C413" s="1" t="str">
        <x:v>North</x:v>
      </x:c>
      <x:c r="D413" s="1" t="str">
        <x:v>Closed Lost</x:v>
      </x:c>
      <x:c r="E413" s="1" t="str">
        <x:v>Lost</x:v>
      </x:c>
      <x:c r="F413" s="7" t="n">
        <x:v>188000</x:v>
      </x:c>
      <x:c r="G413" s="8" t="d">
        <x:v>2025-10-26T00:00:00.000Z</x:v>
      </x:c>
      <x:c r="H413" s="8" t="d">
        <x:v>2026-03-12T00:00:00.000Z</x:v>
      </x:c>
      <x:c r="I413" s="8" t="d">
        <x:v>2025-12-09T00:00:00.000Z</x:v>
      </x:c>
      <x:c r="J413" s="7" t="n">
        <x:v>0</x:v>
      </x:c>
      <x:c r="K413" s="1" t="n">
        <x:v>0</x:v>
      </x:c>
      <x:c r="L413" s="1" t="n">
        <x:v>0</x:v>
      </x:c>
      <x:c r="M413" s="1" t="n">
        <x:v>295</x:v>
      </x:c>
      <x:c r="N413" s="1"/>
      <x:c r="O413" s="1"/>
      <x:c r="P413" s="1"/>
      <x:c r="Q413" s="1"/>
    </x:row>
    <x:row r="414" ht="22" customHeight="1">
      <x:c r="A414" s="1" t="str">
        <x:v>O0409</x:v>
      </x:c>
      <x:c r="B414" s="1" t="str">
        <x:v>Simulated Ludhiana Management Institute 409</x:v>
      </x:c>
      <x:c r="C414" s="1" t="str">
        <x:v>North</x:v>
      </x:c>
      <x:c r="D414" s="1" t="str">
        <x:v>Initial Contact</x:v>
      </x:c>
      <x:c r="E414" s="1" t="str">
        <x:v>Open</x:v>
      </x:c>
      <x:c r="F414" s="7" t="n">
        <x:v>255000</x:v>
      </x:c>
      <x:c r="G414" s="8" t="d">
        <x:v>2026-05-16T00:00:00.000Z</x:v>
      </x:c>
      <x:c r="H414" s="8" t="d">
        <x:v>2026-08-25T00:00:00.000Z</x:v>
      </x:c>
      <x:c r="I414" s="8"/>
      <x:c r="J414" s="7" t="n">
        <x:v>0</x:v>
      </x:c>
      <x:c r="K414" s="1" t="n">
        <x:v>43.57</x:v>
      </x:c>
      <x:c r="L414" s="1" t="n">
        <x:v>1</x:v>
      </x:c>
      <x:c r="M414" s="1" t="n">
        <x:v>91</x:v>
      </x:c>
      <x:c r="N414" s="1"/>
      <x:c r="O414" s="1"/>
      <x:c r="P414" s="1"/>
      <x:c r="Q414" s="1"/>
    </x:row>
    <x:row r="415" ht="22" customHeight="1">
      <x:c r="A415" s="1" t="str">
        <x:v>O0410</x:v>
      </x:c>
      <x:c r="B415" s="1" t="str">
        <x:v>Simulated Pune Management Institute 410</x:v>
      </x:c>
      <x:c r="C415" s="1" t="str">
        <x:v>West</x:v>
      </x:c>
      <x:c r="D415" s="1" t="str">
        <x:v>Closed Lost</x:v>
      </x:c>
      <x:c r="E415" s="1" t="str">
        <x:v>Lost</x:v>
      </x:c>
      <x:c r="F415" s="7" t="n">
        <x:v>203000</x:v>
      </x:c>
      <x:c r="G415" s="8" t="d">
        <x:v>2026-06-30T00:00:00.000Z</x:v>
      </x:c>
      <x:c r="H415" s="8" t="d">
        <x:v>2026-10-29T00:00:00.000Z</x:v>
      </x:c>
      <x:c r="I415" s="8" t="d">
        <x:v>2026-07-06T00:00:00.000Z</x:v>
      </x:c>
      <x:c r="J415" s="7" t="n">
        <x:v>0</x:v>
      </x:c>
      <x:c r="K415" s="1" t="n">
        <x:v>0</x:v>
      </x:c>
      <x:c r="L415" s="1" t="n">
        <x:v>0</x:v>
      </x:c>
      <x:c r="M415" s="1" t="n">
        <x:v>86</x:v>
      </x:c>
      <x:c r="N415" s="1"/>
      <x:c r="O415" s="1"/>
      <x:c r="P415" s="1"/>
      <x:c r="Q415" s="1"/>
    </x:row>
    <x:row r="416" ht="22" customHeight="1">
      <x:c r="A416" s="1" t="str">
        <x:v>O0411</x:v>
      </x:c>
      <x:c r="B416" s="1" t="str">
        <x:v>Simulated Ahmedabad Arts and Science College 411</x:v>
      </x:c>
      <x:c r="C416" s="1" t="str">
        <x:v>West</x:v>
      </x:c>
      <x:c r="D416" s="1" t="str">
        <x:v>Prospect Identified</x:v>
      </x:c>
      <x:c r="E416" s="1" t="str">
        <x:v>Open</x:v>
      </x:c>
      <x:c r="F416" s="7" t="n">
        <x:v>200000</x:v>
      </x:c>
      <x:c r="G416" s="8" t="d">
        <x:v>2026-02-13T00:00:00.000Z</x:v>
      </x:c>
      <x:c r="H416" s="8" t="d">
        <x:v>2026-06-27T00:00:00.000Z</x:v>
      </x:c>
      <x:c r="I416" s="8"/>
      <x:c r="J416" s="7" t="n">
        <x:v>0</x:v>
      </x:c>
      <x:c r="K416" s="1" t="n">
        <x:v>37.38</x:v>
      </x:c>
      <x:c r="L416" s="1" t="n">
        <x:v>1</x:v>
      </x:c>
      <x:c r="M416" s="1" t="n">
        <x:v>229</x:v>
      </x:c>
      <x:c r="N416" s="1"/>
      <x:c r="O416" s="1"/>
      <x:c r="P416" s="1"/>
      <x:c r="Q416" s="1"/>
    </x:row>
    <x:row r="417" ht="22" customHeight="1">
      <x:c r="A417" s="1" t="str">
        <x:v>O0412</x:v>
      </x:c>
      <x:c r="B417" s="1" t="str">
        <x:v>Simulated Jaipur Engineering College 412</x:v>
      </x:c>
      <x:c r="C417" s="1" t="str">
        <x:v>West</x:v>
      </x:c>
      <x:c r="D417" s="1" t="str">
        <x:v>Negotiation</x:v>
      </x:c>
      <x:c r="E417" s="1" t="str">
        <x:v>Open</x:v>
      </x:c>
      <x:c r="F417" s="7" t="n">
        <x:v>162000</x:v>
      </x:c>
      <x:c r="G417" s="8" t="d">
        <x:v>2026-07-03T00:00:00.000Z</x:v>
      </x:c>
      <x:c r="H417" s="8" t="d">
        <x:v>2026-11-27T00:00:00.000Z</x:v>
      </x:c>
      <x:c r="I417" s="8"/>
      <x:c r="J417" s="7" t="n">
        <x:v>0</x:v>
      </x:c>
      <x:c r="K417" s="1" t="n">
        <x:v>52.06</x:v>
      </x:c>
      <x:c r="L417" s="1" t="n">
        <x:v>0</x:v>
      </x:c>
      <x:c r="M417" s="1" t="n">
        <x:v>9</x:v>
      </x:c>
      <x:c r="N417" s="1"/>
      <x:c r="O417" s="1"/>
      <x:c r="P417" s="1"/>
      <x:c r="Q417" s="1"/>
    </x:row>
    <x:row r="418" ht="22" customHeight="1">
      <x:c r="A418" s="1" t="str">
        <x:v>O0413</x:v>
      </x:c>
      <x:c r="B418" s="1" t="str">
        <x:v>Simulated Bengaluru Management Institute 413</x:v>
      </x:c>
      <x:c r="C418" s="1" t="str">
        <x:v>South</x:v>
      </x:c>
      <x:c r="D418" s="1" t="str">
        <x:v>Closed Won</x:v>
      </x:c>
      <x:c r="E418" s="1" t="str">
        <x:v>Won</x:v>
      </x:c>
      <x:c r="F418" s="7" t="n">
        <x:v>258000</x:v>
      </x:c>
      <x:c r="G418" s="8" t="d">
        <x:v>2025-10-09T00:00:00.000Z</x:v>
      </x:c>
      <x:c r="H418" s="8" t="d">
        <x:v>2026-02-02T00:00:00.000Z</x:v>
      </x:c>
      <x:c r="I418" s="8" t="d">
        <x:v>2026-04-01T00:00:00.000Z</x:v>
      </x:c>
      <x:c r="J418" s="7" t="n">
        <x:v>129353.42</x:v>
      </x:c>
      <x:c r="K418" s="1" t="n">
        <x:v>0</x:v>
      </x:c>
      <x:c r="L418" s="1" t="n">
        <x:v>0</x:v>
      </x:c>
      <x:c r="M418" s="1" t="n">
        <x:v>182</x:v>
      </x:c>
      <x:c r="N418" s="1"/>
      <x:c r="O418" s="1"/>
      <x:c r="P418" s="1"/>
      <x:c r="Q418" s="1"/>
    </x:row>
    <x:row r="419" ht="22" customHeight="1">
      <x:c r="A419" s="1" t="str">
        <x:v>O0414</x:v>
      </x:c>
      <x:c r="B419" s="1" t="str">
        <x:v>Simulated Chennai Arts and Science College 414</x:v>
      </x:c>
      <x:c r="C419" s="1" t="str">
        <x:v>South</x:v>
      </x:c>
      <x:c r="D419" s="1" t="str">
        <x:v>Meeting Scheduled</x:v>
      </x:c>
      <x:c r="E419" s="1" t="str">
        <x:v>Open</x:v>
      </x:c>
      <x:c r="F419" s="7" t="n">
        <x:v>139000</x:v>
      </x:c>
      <x:c r="G419" s="8" t="d">
        <x:v>2025-11-10T00:00:00.000Z</x:v>
      </x:c>
      <x:c r="H419" s="8" t="d">
        <x:v>2026-02-14T00:00:00.000Z</x:v>
      </x:c>
      <x:c r="I419" s="8"/>
      <x:c r="J419" s="7" t="n">
        <x:v>0</x:v>
      </x:c>
      <x:c r="K419" s="1" t="n">
        <x:v>44.88</x:v>
      </x:c>
      <x:c r="L419" s="1" t="n">
        <x:v>1</x:v>
      </x:c>
      <x:c r="M419" s="1" t="n">
        <x:v>278</x:v>
      </x:c>
      <x:c r="N419" s="1"/>
      <x:c r="O419" s="1"/>
      <x:c r="P419" s="1"/>
      <x:c r="Q419" s="1"/>
    </x:row>
    <x:row r="420" ht="22" customHeight="1">
      <x:c r="A420" s="1" t="str">
        <x:v>O0415</x:v>
      </x:c>
      <x:c r="B420" s="1" t="str">
        <x:v>Simulated Hyderabad Arts and Science College 415</x:v>
      </x:c>
      <x:c r="C420" s="1" t="str">
        <x:v>South</x:v>
      </x:c>
      <x:c r="D420" s="1" t="str">
        <x:v>Prospect Identified</x:v>
      </x:c>
      <x:c r="E420" s="1" t="str">
        <x:v>Open</x:v>
      </x:c>
      <x:c r="F420" s="7" t="n">
        <x:v>296000</x:v>
      </x:c>
      <x:c r="G420" s="8" t="d">
        <x:v>2026-06-16T00:00:00.000Z</x:v>
      </x:c>
      <x:c r="H420" s="8" t="d">
        <x:v>2026-09-26T00:00:00.000Z</x:v>
      </x:c>
      <x:c r="I420" s="8"/>
      <x:c r="J420" s="7" t="n">
        <x:v>0</x:v>
      </x:c>
      <x:c r="K420" s="1" t="n">
        <x:v>45.21</x:v>
      </x:c>
      <x:c r="L420" s="1" t="n">
        <x:v>1</x:v>
      </x:c>
      <x:c r="M420" s="1" t="n">
        <x:v>106</x:v>
      </x:c>
      <x:c r="N420" s="1"/>
      <x:c r="O420" s="1"/>
      <x:c r="P420" s="1"/>
      <x:c r="Q420" s="1"/>
    </x:row>
    <x:row r="421" ht="22" customHeight="1">
      <x:c r="A421" s="1" t="str">
        <x:v>O0416</x:v>
      </x:c>
      <x:c r="B421" s="1" t="str">
        <x:v>Simulated Kolkata Engineering College 416</x:v>
      </x:c>
      <x:c r="C421" s="1" t="str">
        <x:v>East</x:v>
      </x:c>
      <x:c r="D421" s="1" t="str">
        <x:v>Qualified</x:v>
      </x:c>
      <x:c r="E421" s="1" t="str">
        <x:v>Open</x:v>
      </x:c>
      <x:c r="F421" s="7" t="n">
        <x:v>410000</x:v>
      </x:c>
      <x:c r="G421" s="8" t="d">
        <x:v>2026-08-26T00:00:00.000Z</x:v>
      </x:c>
      <x:c r="H421" s="8" t="d">
        <x:v>2026-12-29T00:00:00.000Z</x:v>
      </x:c>
      <x:c r="I421" s="8"/>
      <x:c r="J421" s="7" t="n">
        <x:v>0</x:v>
      </x:c>
      <x:c r="K421" s="1" t="n">
        <x:v>57.42</x:v>
      </x:c>
      <x:c r="L421" s="1" t="n">
        <x:v>0</x:v>
      </x:c>
      <x:c r="M421" s="1" t="n">
        <x:v>13</x:v>
      </x:c>
      <x:c r="N421" s="1"/>
      <x:c r="O421" s="1"/>
      <x:c r="P421" s="1"/>
      <x:c r="Q421" s="1"/>
    </x:row>
    <x:row r="422" ht="22" customHeight="1">
      <x:c r="A422" s="1" t="str">
        <x:v>O0417</x:v>
      </x:c>
      <x:c r="B422" s="1" t="str">
        <x:v>Simulated Bhubaneswar Management Institute 417</x:v>
      </x:c>
      <x:c r="C422" s="1" t="str">
        <x:v>East</x:v>
      </x:c>
      <x:c r="D422" s="1" t="str">
        <x:v>Prospect Identified</x:v>
      </x:c>
      <x:c r="E422" s="1" t="str">
        <x:v>Open</x:v>
      </x:c>
      <x:c r="F422" s="7" t="n">
        <x:v>93000</x:v>
      </x:c>
      <x:c r="G422" s="8" t="d">
        <x:v>2026-01-05T00:00:00.000Z</x:v>
      </x:c>
      <x:c r="H422" s="8" t="d">
        <x:v>2026-05-28T00:00:00.000Z</x:v>
      </x:c>
      <x:c r="I422" s="8"/>
      <x:c r="J422" s="7" t="n">
        <x:v>0</x:v>
      </x:c>
      <x:c r="K422" s="1" t="n">
        <x:v>38.63</x:v>
      </x:c>
      <x:c r="L422" s="1" t="n">
        <x:v>1</x:v>
      </x:c>
      <x:c r="M422" s="1" t="n">
        <x:v>268</x:v>
      </x:c>
      <x:c r="N422" s="1"/>
      <x:c r="O422" s="1"/>
      <x:c r="P422" s="1"/>
      <x:c r="Q422" s="1"/>
    </x:row>
    <x:row r="423" ht="22" customHeight="1">
      <x:c r="A423" s="1" t="str">
        <x:v>O0418</x:v>
      </x:c>
      <x:c r="B423" s="1" t="str">
        <x:v>Simulated Patna University 418</x:v>
      </x:c>
      <x:c r="C423" s="1" t="str">
        <x:v>East</x:v>
      </x:c>
      <x:c r="D423" s="1" t="str">
        <x:v>Closed Lost</x:v>
      </x:c>
      <x:c r="E423" s="1" t="str">
        <x:v>Lost</x:v>
      </x:c>
      <x:c r="F423" s="7" t="n">
        <x:v>246000</x:v>
      </x:c>
      <x:c r="G423" s="8" t="d">
        <x:v>2025-12-05T00:00:00.000Z</x:v>
      </x:c>
      <x:c r="H423" s="8" t="d">
        <x:v>2026-03-11T00:00:00.000Z</x:v>
      </x:c>
      <x:c r="I423" s="8" t="d">
        <x:v>2025-12-29T00:00:00.000Z</x:v>
      </x:c>
      <x:c r="J423" s="7" t="n">
        <x:v>0</x:v>
      </x:c>
      <x:c r="K423" s="1" t="n">
        <x:v>0</x:v>
      </x:c>
      <x:c r="L423" s="1" t="n">
        <x:v>0</x:v>
      </x:c>
      <x:c r="M423" s="1" t="n">
        <x:v>275</x:v>
      </x:c>
      <x:c r="N423" s="1"/>
      <x:c r="O423" s="1"/>
      <x:c r="P423" s="1"/>
      <x:c r="Q423" s="1"/>
    </x:row>
    <x:row r="424" ht="22" customHeight="1">
      <x:c r="A424" s="1" t="str">
        <x:v>O0419</x:v>
      </x:c>
      <x:c r="B424" s="1" t="str">
        <x:v>Simulated Guwahati Engineering College 419</x:v>
      </x:c>
      <x:c r="C424" s="1" t="str">
        <x:v>Northeast</x:v>
      </x:c>
      <x:c r="D424" s="1" t="str">
        <x:v>Qualified</x:v>
      </x:c>
      <x:c r="E424" s="1" t="str">
        <x:v>Open</x:v>
      </x:c>
      <x:c r="F424" s="7" t="n">
        <x:v>136000</x:v>
      </x:c>
      <x:c r="G424" s="8" t="d">
        <x:v>2026-05-13T00:00:00.000Z</x:v>
      </x:c>
      <x:c r="H424" s="8" t="d">
        <x:v>2026-09-08T00:00:00.000Z</x:v>
      </x:c>
      <x:c r="I424" s="8"/>
      <x:c r="J424" s="7" t="n">
        <x:v>0</x:v>
      </x:c>
      <x:c r="K424" s="1" t="n">
        <x:v>38.83</x:v>
      </x:c>
      <x:c r="L424" s="1" t="n">
        <x:v>1</x:v>
      </x:c>
      <x:c r="M424" s="1" t="n">
        <x:v>129</x:v>
      </x:c>
      <x:c r="N424" s="1"/>
      <x:c r="O424" s="1"/>
      <x:c r="P424" s="1"/>
      <x:c r="Q424" s="1"/>
    </x:row>
    <x:row r="425" ht="22" customHeight="1">
      <x:c r="A425" s="1" t="str">
        <x:v>O0420</x:v>
      </x:c>
      <x:c r="B425" s="1" t="str">
        <x:v>Simulated Indore Engineering College 420</x:v>
      </x:c>
      <x:c r="C425" s="1" t="str">
        <x:v>Central</x:v>
      </x:c>
      <x:c r="D425" s="1" t="str">
        <x:v>Initial Contact</x:v>
      </x:c>
      <x:c r="E425" s="1" t="str">
        <x:v>Open</x:v>
      </x:c>
      <x:c r="F425" s="7" t="n">
        <x:v>233000</x:v>
      </x:c>
      <x:c r="G425" s="8" t="d">
        <x:v>2026-08-21T00:00:00.000Z</x:v>
      </x:c>
      <x:c r="H425" s="8" t="d">
        <x:v>2026-12-02T00:00:00.000Z</x:v>
      </x:c>
      <x:c r="I425" s="8"/>
      <x:c r="J425" s="7" t="n">
        <x:v>0</x:v>
      </x:c>
      <x:c r="K425" s="1" t="n">
        <x:v>54.53</x:v>
      </x:c>
      <x:c r="L425" s="1" t="n">
        <x:v>0</x:v>
      </x:c>
      <x:c r="M425" s="1" t="n">
        <x:v>15</x:v>
      </x:c>
      <x:c r="N425" s="1"/>
      <x:c r="O425" s="1"/>
      <x:c r="P425" s="1"/>
      <x:c r="Q425" s="1"/>
    </x:row>
    <x:row r="426" ht="22" customHeight="1">
      <x:c r="A426" s="1" t="str">
        <x:v>O0421</x:v>
      </x:c>
      <x:c r="B426" s="1" t="str">
        <x:v>Simulated New Delhi University 421</x:v>
      </x:c>
      <x:c r="C426" s="1" t="str">
        <x:v>North</x:v>
      </x:c>
      <x:c r="D426" s="1" t="str">
        <x:v>Closed Lost</x:v>
      </x:c>
      <x:c r="E426" s="1" t="str">
        <x:v>Lost</x:v>
      </x:c>
      <x:c r="F426" s="7" t="n">
        <x:v>312000</x:v>
      </x:c>
      <x:c r="G426" s="8" t="d">
        <x:v>2026-02-15T00:00:00.000Z</x:v>
      </x:c>
      <x:c r="H426" s="8" t="d">
        <x:v>2026-05-18T00:00:00.000Z</x:v>
      </x:c>
      <x:c r="I426" s="8" t="d">
        <x:v>2026-04-17T00:00:00.000Z</x:v>
      </x:c>
      <x:c r="J426" s="7" t="n">
        <x:v>0</x:v>
      </x:c>
      <x:c r="K426" s="1" t="n">
        <x:v>0</x:v>
      </x:c>
      <x:c r="L426" s="1" t="n">
        <x:v>0</x:v>
      </x:c>
      <x:c r="M426" s="1" t="n">
        <x:v>166</x:v>
      </x:c>
      <x:c r="N426" s="1"/>
      <x:c r="O426" s="1"/>
      <x:c r="P426" s="1"/>
      <x:c r="Q426" s="1"/>
    </x:row>
    <x:row r="427" ht="22" customHeight="1">
      <x:c r="A427" s="1" t="str">
        <x:v>O0422</x:v>
      </x:c>
      <x:c r="B427" s="1" t="str">
        <x:v>Simulated Noida Management Institute 422</x:v>
      </x:c>
      <x:c r="C427" s="1" t="str">
        <x:v>North</x:v>
      </x:c>
      <x:c r="D427" s="1" t="str">
        <x:v>Closed Lost</x:v>
      </x:c>
      <x:c r="E427" s="1" t="str">
        <x:v>Lost</x:v>
      </x:c>
      <x:c r="F427" s="7" t="n">
        <x:v>186000</x:v>
      </x:c>
      <x:c r="G427" s="8" t="d">
        <x:v>2026-03-28T00:00:00.000Z</x:v>
      </x:c>
      <x:c r="H427" s="8" t="d">
        <x:v>2026-06-30T00:00:00.000Z</x:v>
      </x:c>
      <x:c r="I427" s="8" t="d">
        <x:v>2026-07-26T00:00:00.000Z</x:v>
      </x:c>
      <x:c r="J427" s="7" t="n">
        <x:v>0</x:v>
      </x:c>
      <x:c r="K427" s="1" t="n">
        <x:v>0</x:v>
      </x:c>
      <x:c r="L427" s="1" t="n">
        <x:v>0</x:v>
      </x:c>
      <x:c r="M427" s="1" t="n">
        <x:v>66</x:v>
      </x:c>
      <x:c r="N427" s="1"/>
      <x:c r="O427" s="1"/>
      <x:c r="P427" s="1"/>
      <x:c r="Q427" s="1"/>
    </x:row>
    <x:row r="428" ht="22" customHeight="1">
      <x:c r="A428" s="1" t="str">
        <x:v>O0423</x:v>
      </x:c>
      <x:c r="B428" s="1" t="str">
        <x:v>Simulated Gurugram Engineering College 423</x:v>
      </x:c>
      <x:c r="C428" s="1" t="str">
        <x:v>North</x:v>
      </x:c>
      <x:c r="D428" s="1" t="str">
        <x:v>Prospect Identified</x:v>
      </x:c>
      <x:c r="E428" s="1" t="str">
        <x:v>Open</x:v>
      </x:c>
      <x:c r="F428" s="7" t="n">
        <x:v>343000</x:v>
      </x:c>
      <x:c r="G428" s="8" t="d">
        <x:v>2026-05-18T00:00:00.000Z</x:v>
      </x:c>
      <x:c r="H428" s="8" t="d">
        <x:v>2026-08-31T00:00:00.000Z</x:v>
      </x:c>
      <x:c r="I428" s="8"/>
      <x:c r="J428" s="7" t="n">
        <x:v>0</x:v>
      </x:c>
      <x:c r="K428" s="1" t="n">
        <x:v>42.12</x:v>
      </x:c>
      <x:c r="L428" s="1" t="n">
        <x:v>1</x:v>
      </x:c>
      <x:c r="M428" s="1" t="n">
        <x:v>135</x:v>
      </x:c>
      <x:c r="N428" s="1"/>
      <x:c r="O428" s="1"/>
      <x:c r="P428" s="1"/>
      <x:c r="Q428" s="1"/>
    </x:row>
    <x:row r="429" ht="22" customHeight="1">
      <x:c r="A429" s="1" t="str">
        <x:v>O0424</x:v>
      </x:c>
      <x:c r="B429" s="1" t="str">
        <x:v>Simulated Ludhiana Management Institute 424</x:v>
      </x:c>
      <x:c r="C429" s="1" t="str">
        <x:v>North</x:v>
      </x:c>
      <x:c r="D429" s="1" t="str">
        <x:v>Prospect Identified</x:v>
      </x:c>
      <x:c r="E429" s="1" t="str">
        <x:v>Open</x:v>
      </x:c>
      <x:c r="F429" s="7" t="n">
        <x:v>335000</x:v>
      </x:c>
      <x:c r="G429" s="8" t="d">
        <x:v>2026-03-12T00:00:00.000Z</x:v>
      </x:c>
      <x:c r="H429" s="8" t="d">
        <x:v>2026-07-28T00:00:00.000Z</x:v>
      </x:c>
      <x:c r="I429" s="8"/>
      <x:c r="J429" s="7" t="n">
        <x:v>0</x:v>
      </x:c>
      <x:c r="K429" s="1" t="n">
        <x:v>43.21</x:v>
      </x:c>
      <x:c r="L429" s="1" t="n">
        <x:v>1</x:v>
      </x:c>
      <x:c r="M429" s="1" t="n">
        <x:v>202</x:v>
      </x:c>
      <x:c r="N429" s="1"/>
      <x:c r="O429" s="1"/>
      <x:c r="P429" s="1"/>
      <x:c r="Q429" s="1"/>
    </x:row>
    <x:row r="430" ht="22" customHeight="1">
      <x:c r="A430" s="1" t="str">
        <x:v>O0425</x:v>
      </x:c>
      <x:c r="B430" s="1" t="str">
        <x:v>Simulated Pune Engineering College 425</x:v>
      </x:c>
      <x:c r="C430" s="1" t="str">
        <x:v>West</x:v>
      </x:c>
      <x:c r="D430" s="1" t="str">
        <x:v>Qualified</x:v>
      </x:c>
      <x:c r="E430" s="1" t="str">
        <x:v>Open</x:v>
      </x:c>
      <x:c r="F430" s="7" t="n">
        <x:v>210000</x:v>
      </x:c>
      <x:c r="G430" s="8" t="d">
        <x:v>2025-12-19T00:00:00.000Z</x:v>
      </x:c>
      <x:c r="H430" s="8" t="d">
        <x:v>2026-03-10T00:00:00.000Z</x:v>
      </x:c>
      <x:c r="I430" s="8"/>
      <x:c r="J430" s="7" t="n">
        <x:v>0</x:v>
      </x:c>
      <x:c r="K430" s="1" t="n">
        <x:v>42.47</x:v>
      </x:c>
      <x:c r="L430" s="1" t="n">
        <x:v>1</x:v>
      </x:c>
      <x:c r="M430" s="1" t="n">
        <x:v>276</x:v>
      </x:c>
      <x:c r="N430" s="1"/>
      <x:c r="O430" s="1"/>
      <x:c r="P430" s="1"/>
      <x:c r="Q430" s="1"/>
    </x:row>
    <x:row r="431" ht="22" customHeight="1">
      <x:c r="A431" s="1" t="str">
        <x:v>O0426</x:v>
      </x:c>
      <x:c r="B431" s="1" t="str">
        <x:v>Simulated Ahmedabad University 426</x:v>
      </x:c>
      <x:c r="C431" s="1" t="str">
        <x:v>West</x:v>
      </x:c>
      <x:c r="D431" s="1" t="str">
        <x:v>Initial Contact</x:v>
      </x:c>
      <x:c r="E431" s="1" t="str">
        <x:v>Open</x:v>
      </x:c>
      <x:c r="F431" s="7" t="n">
        <x:v>1223000</x:v>
      </x:c>
      <x:c r="G431" s="8" t="d">
        <x:v>2025-12-06T00:00:00.000Z</x:v>
      </x:c>
      <x:c r="H431" s="8" t="d">
        <x:v>2026-05-02T00:00:00.000Z</x:v>
      </x:c>
      <x:c r="I431" s="8"/>
      <x:c r="J431" s="7" t="n">
        <x:v>0</x:v>
      </x:c>
      <x:c r="K431" s="1" t="n">
        <x:v>80.16</x:v>
      </x:c>
      <x:c r="L431" s="1" t="n">
        <x:v>1</x:v>
      </x:c>
      <x:c r="M431" s="1" t="n">
        <x:v>264</x:v>
      </x:c>
      <x:c r="N431" s="1"/>
      <x:c r="O431" s="1"/>
      <x:c r="P431" s="1"/>
      <x:c r="Q431" s="1"/>
    </x:row>
    <x:row r="432" ht="22" customHeight="1">
      <x:c r="A432" s="1" t="str">
        <x:v>O0427</x:v>
      </x:c>
      <x:c r="B432" s="1" t="str">
        <x:v>Simulated Jaipur Engineering College 427</x:v>
      </x:c>
      <x:c r="C432" s="1" t="str">
        <x:v>West</x:v>
      </x:c>
      <x:c r="D432" s="1" t="str">
        <x:v>Closed Lost</x:v>
      </x:c>
      <x:c r="E432" s="1" t="str">
        <x:v>Lost</x:v>
      </x:c>
      <x:c r="F432" s="7" t="n">
        <x:v>126000</x:v>
      </x:c>
      <x:c r="G432" s="8" t="d">
        <x:v>2026-08-27T00:00:00.000Z</x:v>
      </x:c>
      <x:c r="H432" s="8" t="d">
        <x:v>2026-12-13T00:00:00.000Z</x:v>
      </x:c>
      <x:c r="I432" s="8" t="d">
        <x:v>2026-09-08T00:00:00.000Z</x:v>
      </x:c>
      <x:c r="J432" s="7" t="n">
        <x:v>0</x:v>
      </x:c>
      <x:c r="K432" s="1" t="n">
        <x:v>0</x:v>
      </x:c>
      <x:c r="L432" s="1" t="n">
        <x:v>0</x:v>
      </x:c>
      <x:c r="M432" s="1" t="n">
        <x:v>22</x:v>
      </x:c>
      <x:c r="N432" s="1"/>
      <x:c r="O432" s="1"/>
      <x:c r="P432" s="1"/>
      <x:c r="Q432" s="1"/>
    </x:row>
    <x:row r="433" ht="22" customHeight="1">
      <x:c r="A433" s="1" t="str">
        <x:v>O0428</x:v>
      </x:c>
      <x:c r="B433" s="1" t="str">
        <x:v>Simulated Bengaluru Management Institute 428</x:v>
      </x:c>
      <x:c r="C433" s="1" t="str">
        <x:v>South</x:v>
      </x:c>
      <x:c r="D433" s="1" t="str">
        <x:v>Closed Lost</x:v>
      </x:c>
      <x:c r="E433" s="1" t="str">
        <x:v>Lost</x:v>
      </x:c>
      <x:c r="F433" s="7" t="n">
        <x:v>292000</x:v>
      </x:c>
      <x:c r="G433" s="8" t="d">
        <x:v>2026-03-29T00:00:00.000Z</x:v>
      </x:c>
      <x:c r="H433" s="8" t="d">
        <x:v>2026-06-22T00:00:00.000Z</x:v>
      </x:c>
      <x:c r="I433" s="8" t="d">
        <x:v>2026-07-14T00:00:00.000Z</x:v>
      </x:c>
      <x:c r="J433" s="7" t="n">
        <x:v>0</x:v>
      </x:c>
      <x:c r="K433" s="1" t="n">
        <x:v>0</x:v>
      </x:c>
      <x:c r="L433" s="1" t="n">
        <x:v>0</x:v>
      </x:c>
      <x:c r="M433" s="1" t="n">
        <x:v>78</x:v>
      </x:c>
      <x:c r="N433" s="1"/>
      <x:c r="O433" s="1"/>
      <x:c r="P433" s="1"/>
      <x:c r="Q433" s="1"/>
    </x:row>
    <x:row r="434" ht="22" customHeight="1">
      <x:c r="A434" s="1" t="str">
        <x:v>O0429</x:v>
      </x:c>
      <x:c r="B434" s="1" t="str">
        <x:v>Simulated Chennai Engineering College 429</x:v>
      </x:c>
      <x:c r="C434" s="1" t="str">
        <x:v>South</x:v>
      </x:c>
      <x:c r="D434" s="1" t="str">
        <x:v>Closed Won</x:v>
      </x:c>
      <x:c r="E434" s="1" t="str">
        <x:v>Won</x:v>
      </x:c>
      <x:c r="F434" s="7" t="n">
        <x:v>203000</x:v>
      </x:c>
      <x:c r="G434" s="8" t="d">
        <x:v>2026-03-01T00:00:00.000Z</x:v>
      </x:c>
      <x:c r="H434" s="8" t="d">
        <x:v>2026-06-28T00:00:00.000Z</x:v>
      </x:c>
      <x:c r="I434" s="8" t="d">
        <x:v>2026-07-05T00:00:00.000Z</x:v>
      </x:c>
      <x:c r="J434" s="7" t="n">
        <x:v>48942.47</x:v>
      </x:c>
      <x:c r="K434" s="1" t="n">
        <x:v>0</x:v>
      </x:c>
      <x:c r="L434" s="1" t="n">
        <x:v>0</x:v>
      </x:c>
      <x:c r="M434" s="1" t="n">
        <x:v>87</x:v>
      </x:c>
      <x:c r="N434" s="1"/>
      <x:c r="O434" s="1"/>
      <x:c r="P434" s="1"/>
      <x:c r="Q434" s="1"/>
    </x:row>
    <x:row r="435" ht="22" customHeight="1">
      <x:c r="A435" s="1" t="str">
        <x:v>O0430</x:v>
      </x:c>
      <x:c r="B435" s="1" t="str">
        <x:v>Simulated Hyderabad Management Institute 430</x:v>
      </x:c>
      <x:c r="C435" s="1" t="str">
        <x:v>South</x:v>
      </x:c>
      <x:c r="D435" s="1" t="str">
        <x:v>Prospect Identified</x:v>
      </x:c>
      <x:c r="E435" s="1" t="str">
        <x:v>Open</x:v>
      </x:c>
      <x:c r="F435" s="7" t="n">
        <x:v>335000</x:v>
      </x:c>
      <x:c r="G435" s="8" t="d">
        <x:v>2026-08-03T00:00:00.000Z</x:v>
      </x:c>
      <x:c r="H435" s="8" t="d">
        <x:v>2026-11-25T00:00:00.000Z</x:v>
      </x:c>
      <x:c r="I435" s="8"/>
      <x:c r="J435" s="7" t="n">
        <x:v>0</x:v>
      </x:c>
      <x:c r="K435" s="1" t="n">
        <x:v>48.78</x:v>
      </x:c>
      <x:c r="L435" s="1" t="n">
        <x:v>1</x:v>
      </x:c>
      <x:c r="M435" s="1" t="n">
        <x:v>58</x:v>
      </x:c>
      <x:c r="N435" s="1"/>
      <x:c r="O435" s="1"/>
      <x:c r="P435" s="1"/>
      <x:c r="Q435" s="1"/>
    </x:row>
    <x:row r="436" ht="22" customHeight="1">
      <x:c r="A436" s="1" t="str">
        <x:v>O0431</x:v>
      </x:c>
      <x:c r="B436" s="1" t="str">
        <x:v>Simulated Kolkata Arts and Science College 431</x:v>
      </x:c>
      <x:c r="C436" s="1" t="str">
        <x:v>East</x:v>
      </x:c>
      <x:c r="D436" s="1" t="str">
        <x:v>Initial Contact</x:v>
      </x:c>
      <x:c r="E436" s="1" t="str">
        <x:v>Open</x:v>
      </x:c>
      <x:c r="F436" s="7" t="n">
        <x:v>179000</x:v>
      </x:c>
      <x:c r="G436" s="8" t="d">
        <x:v>2025-11-14T00:00:00.000Z</x:v>
      </x:c>
      <x:c r="H436" s="8" t="d">
        <x:v>2026-03-31T00:00:00.000Z</x:v>
      </x:c>
      <x:c r="I436" s="8"/>
      <x:c r="J436" s="7" t="n">
        <x:v>0</x:v>
      </x:c>
      <x:c r="K436" s="1" t="n">
        <x:v>49.19</x:v>
      </x:c>
      <x:c r="L436" s="1" t="n">
        <x:v>0</x:v>
      </x:c>
      <x:c r="M436" s="1" t="n">
        <x:v>292</x:v>
      </x:c>
      <x:c r="N436" s="1"/>
      <x:c r="O436" s="1"/>
      <x:c r="P436" s="1"/>
      <x:c r="Q436" s="1"/>
    </x:row>
    <x:row r="437" ht="22" customHeight="1">
      <x:c r="A437" s="1" t="str">
        <x:v>O0432</x:v>
      </x:c>
      <x:c r="B437" s="1" t="str">
        <x:v>Simulated Bhubaneswar Arts and Science College 432</x:v>
      </x:c>
      <x:c r="C437" s="1" t="str">
        <x:v>East</x:v>
      </x:c>
      <x:c r="D437" s="1" t="str">
        <x:v>Meeting Scheduled</x:v>
      </x:c>
      <x:c r="E437" s="1" t="str">
        <x:v>Open</x:v>
      </x:c>
      <x:c r="F437" s="7" t="n">
        <x:v>197000</x:v>
      </x:c>
      <x:c r="G437" s="8" t="d">
        <x:v>2026-06-16T00:00:00.000Z</x:v>
      </x:c>
      <x:c r="H437" s="8" t="d">
        <x:v>2026-09-25T00:00:00.000Z</x:v>
      </x:c>
      <x:c r="I437" s="8"/>
      <x:c r="J437" s="7" t="n">
        <x:v>0</x:v>
      </x:c>
      <x:c r="K437" s="1" t="n">
        <x:v>35.1</x:v>
      </x:c>
      <x:c r="L437" s="1" t="n">
        <x:v>1</x:v>
      </x:c>
      <x:c r="M437" s="1" t="n">
        <x:v>55</x:v>
      </x:c>
      <x:c r="N437" s="1"/>
      <x:c r="O437" s="1"/>
      <x:c r="P437" s="1"/>
      <x:c r="Q437" s="1"/>
    </x:row>
    <x:row r="438" ht="22" customHeight="1">
      <x:c r="A438" s="1" t="str">
        <x:v>O0433</x:v>
      </x:c>
      <x:c r="B438" s="1" t="str">
        <x:v>Simulated Patna Arts and Science College 433</x:v>
      </x:c>
      <x:c r="C438" s="1" t="str">
        <x:v>East</x:v>
      </x:c>
      <x:c r="D438" s="1" t="str">
        <x:v>Qualified</x:v>
      </x:c>
      <x:c r="E438" s="1" t="str">
        <x:v>Open</x:v>
      </x:c>
      <x:c r="F438" s="7" t="n">
        <x:v>191000</x:v>
      </x:c>
      <x:c r="G438" s="8" t="d">
        <x:v>2026-09-16T00:00:00.000Z</x:v>
      </x:c>
      <x:c r="H438" s="8" t="d">
        <x:v>2026-12-06T00:00:00.000Z</x:v>
      </x:c>
      <x:c r="I438" s="8"/>
      <x:c r="J438" s="7" t="n">
        <x:v>0</x:v>
      </x:c>
      <x:c r="K438" s="1" t="n">
        <x:v>41.73</x:v>
      </x:c>
      <x:c r="L438" s="1" t="n">
        <x:v>0</x:v>
      </x:c>
      <x:c r="M438" s="1" t="n">
        <x:v>5</x:v>
      </x:c>
      <x:c r="N438" s="1"/>
      <x:c r="O438" s="1"/>
      <x:c r="P438" s="1"/>
      <x:c r="Q438" s="1"/>
    </x:row>
    <x:row r="439" ht="22" customHeight="1">
      <x:c r="A439" s="1" t="str">
        <x:v>O0434</x:v>
      </x:c>
      <x:c r="B439" s="1" t="str">
        <x:v>Simulated Guwahati Management Institute 434</x:v>
      </x:c>
      <x:c r="C439" s="1" t="str">
        <x:v>Northeast</x:v>
      </x:c>
      <x:c r="D439" s="1" t="str">
        <x:v>Closed Lost</x:v>
      </x:c>
      <x:c r="E439" s="1" t="str">
        <x:v>Lost</x:v>
      </x:c>
      <x:c r="F439" s="7" t="n">
        <x:v>280000</x:v>
      </x:c>
      <x:c r="G439" s="8" t="d">
        <x:v>2025-11-08T00:00:00.000Z</x:v>
      </x:c>
      <x:c r="H439" s="8" t="d">
        <x:v>2026-03-08T00:00:00.000Z</x:v>
      </x:c>
      <x:c r="I439" s="8" t="d">
        <x:v>2025-11-16T00:00:00.000Z</x:v>
      </x:c>
      <x:c r="J439" s="7" t="n">
        <x:v>0</x:v>
      </x:c>
      <x:c r="K439" s="1" t="n">
        <x:v>0</x:v>
      </x:c>
      <x:c r="L439" s="1" t="n">
        <x:v>0</x:v>
      </x:c>
      <x:c r="M439" s="1" t="n">
        <x:v>318</x:v>
      </x:c>
      <x:c r="N439" s="1"/>
      <x:c r="O439" s="1"/>
      <x:c r="P439" s="1"/>
      <x:c r="Q439" s="1"/>
    </x:row>
    <x:row r="440" ht="22" customHeight="1">
      <x:c r="A440" s="1" t="str">
        <x:v>O0435</x:v>
      </x:c>
      <x:c r="B440" s="1" t="str">
        <x:v>Simulated Indore Arts and Science College 435</x:v>
      </x:c>
      <x:c r="C440" s="1" t="str">
        <x:v>Central</x:v>
      </x:c>
      <x:c r="D440" s="1" t="str">
        <x:v>Meeting Scheduled</x:v>
      </x:c>
      <x:c r="E440" s="1" t="str">
        <x:v>Open</x:v>
      </x:c>
      <x:c r="F440" s="7" t="n">
        <x:v>88000</x:v>
      </x:c>
      <x:c r="G440" s="8" t="d">
        <x:v>2026-01-15T00:00:00.000Z</x:v>
      </x:c>
      <x:c r="H440" s="8" t="d">
        <x:v>2026-05-14T00:00:00.000Z</x:v>
      </x:c>
      <x:c r="I440" s="8"/>
      <x:c r="J440" s="7" t="n">
        <x:v>0</x:v>
      </x:c>
      <x:c r="K440" s="1" t="n">
        <x:v>24.69</x:v>
      </x:c>
      <x:c r="L440" s="1" t="n">
        <x:v>1</x:v>
      </x:c>
      <x:c r="M440" s="1" t="n">
        <x:v>232</x:v>
      </x:c>
      <x:c r="N440" s="1"/>
      <x:c r="O440" s="1"/>
      <x:c r="P440" s="1"/>
      <x:c r="Q440" s="1"/>
    </x:row>
    <x:row r="441" ht="22" customHeight="1">
      <x:c r="A441" s="1" t="str">
        <x:v>O0436</x:v>
      </x:c>
      <x:c r="B441" s="1" t="str">
        <x:v>Simulated New Delhi Management Institute 436</x:v>
      </x:c>
      <x:c r="C441" s="1" t="str">
        <x:v>North</x:v>
      </x:c>
      <x:c r="D441" s="1" t="str">
        <x:v>Qualified</x:v>
      </x:c>
      <x:c r="E441" s="1" t="str">
        <x:v>Open</x:v>
      </x:c>
      <x:c r="F441" s="7" t="n">
        <x:v>255000</x:v>
      </x:c>
      <x:c r="G441" s="8" t="d">
        <x:v>2026-05-17T00:00:00.000Z</x:v>
      </x:c>
      <x:c r="H441" s="8" t="d">
        <x:v>2026-10-08T00:00:00.000Z</x:v>
      </x:c>
      <x:c r="I441" s="8"/>
      <x:c r="J441" s="7" t="n">
        <x:v>0</x:v>
      </x:c>
      <x:c r="K441" s="1" t="n">
        <x:v>51.24</x:v>
      </x:c>
      <x:c r="L441" s="1" t="n">
        <x:v>0</x:v>
      </x:c>
      <x:c r="M441" s="1" t="n">
        <x:v>110</x:v>
      </x:c>
      <x:c r="N441" s="1"/>
      <x:c r="O441" s="1"/>
      <x:c r="P441" s="1"/>
      <x:c r="Q441" s="1"/>
    </x:row>
    <x:row r="442" ht="22" customHeight="1">
      <x:c r="A442" s="1" t="str">
        <x:v>O0437</x:v>
      </x:c>
      <x:c r="B442" s="1" t="str">
        <x:v>Simulated Noida Arts and Science College 437</x:v>
      </x:c>
      <x:c r="C442" s="1" t="str">
        <x:v>North</x:v>
      </x:c>
      <x:c r="D442" s="1" t="str">
        <x:v>Qualified</x:v>
      </x:c>
      <x:c r="E442" s="1" t="str">
        <x:v>Open</x:v>
      </x:c>
      <x:c r="F442" s="7" t="n">
        <x:v>109000</x:v>
      </x:c>
      <x:c r="G442" s="8" t="d">
        <x:v>2026-02-26T00:00:00.000Z</x:v>
      </x:c>
      <x:c r="H442" s="8" t="d">
        <x:v>2026-07-24T00:00:00.000Z</x:v>
      </x:c>
      <x:c r="I442" s="8"/>
      <x:c r="J442" s="7" t="n">
        <x:v>0</x:v>
      </x:c>
      <x:c r="K442" s="1" t="n">
        <x:v>31.96</x:v>
      </x:c>
      <x:c r="L442" s="1" t="n">
        <x:v>1</x:v>
      </x:c>
      <x:c r="M442" s="1" t="n">
        <x:v>192</x:v>
      </x:c>
      <x:c r="N442" s="1"/>
      <x:c r="O442" s="1"/>
      <x:c r="P442" s="1"/>
      <x:c r="Q442" s="1"/>
    </x:row>
    <x:row r="443" ht="22" customHeight="1">
      <x:c r="A443" s="1" t="str">
        <x:v>O0438</x:v>
      </x:c>
      <x:c r="B443" s="1" t="str">
        <x:v>Simulated Gurugram University 438</x:v>
      </x:c>
      <x:c r="C443" s="1" t="str">
        <x:v>North</x:v>
      </x:c>
      <x:c r="D443" s="1" t="str">
        <x:v>Prospect Identified</x:v>
      </x:c>
      <x:c r="E443" s="1" t="str">
        <x:v>Open</x:v>
      </x:c>
      <x:c r="F443" s="7" t="n">
        <x:v>523000</x:v>
      </x:c>
      <x:c r="G443" s="8" t="d">
        <x:v>2026-09-11T00:00:00.000Z</x:v>
      </x:c>
      <x:c r="H443" s="8" t="d">
        <x:v>2027-01-14T00:00:00.000Z</x:v>
      </x:c>
      <x:c r="I443" s="8"/>
      <x:c r="J443" s="7" t="n">
        <x:v>0</x:v>
      </x:c>
      <x:c r="K443" s="1" t="n">
        <x:v>64.62</x:v>
      </x:c>
      <x:c r="L443" s="1" t="n">
        <x:v>0</x:v>
      </x:c>
      <x:c r="M443" s="1" t="n">
        <x:v>19</x:v>
      </x:c>
      <x:c r="N443" s="1"/>
      <x:c r="O443" s="1"/>
      <x:c r="P443" s="1"/>
      <x:c r="Q443" s="1"/>
    </x:row>
    <x:row r="444" ht="22" customHeight="1">
      <x:c r="A444" s="1" t="str">
        <x:v>O0439</x:v>
      </x:c>
      <x:c r="B444" s="1" t="str">
        <x:v>Simulated Ludhiana Arts and Science College 439</x:v>
      </x:c>
      <x:c r="C444" s="1" t="str">
        <x:v>North</x:v>
      </x:c>
      <x:c r="D444" s="1" t="str">
        <x:v>Initial Contact</x:v>
      </x:c>
      <x:c r="E444" s="1" t="str">
        <x:v>Open</x:v>
      </x:c>
      <x:c r="F444" s="7" t="n">
        <x:v>280000</x:v>
      </x:c>
      <x:c r="G444" s="8" t="d">
        <x:v>2026-07-07T00:00:00.000Z</x:v>
      </x:c>
      <x:c r="H444" s="8" t="d">
        <x:v>2026-10-02T00:00:00.000Z</x:v>
      </x:c>
      <x:c r="I444" s="8"/>
      <x:c r="J444" s="7" t="n">
        <x:v>0</x:v>
      </x:c>
      <x:c r="K444" s="1" t="n">
        <x:v>51.98</x:v>
      </x:c>
      <x:c r="L444" s="1" t="n">
        <x:v>0</x:v>
      </x:c>
      <x:c r="M444" s="1" t="n">
        <x:v>51</x:v>
      </x:c>
      <x:c r="N444" s="1"/>
      <x:c r="O444" s="1"/>
      <x:c r="P444" s="1"/>
      <x:c r="Q444" s="1"/>
    </x:row>
    <x:row r="445" ht="22" customHeight="1">
      <x:c r="A445" s="1" t="str">
        <x:v>O0440</x:v>
      </x:c>
      <x:c r="B445" s="1" t="str">
        <x:v>Simulated Pune Arts and Science College 440</x:v>
      </x:c>
      <x:c r="C445" s="1" t="str">
        <x:v>West</x:v>
      </x:c>
      <x:c r="D445" s="1" t="str">
        <x:v>Closed Lost</x:v>
      </x:c>
      <x:c r="E445" s="1" t="str">
        <x:v>Lost</x:v>
      </x:c>
      <x:c r="F445" s="7" t="n">
        <x:v>155000</x:v>
      </x:c>
      <x:c r="G445" s="8" t="d">
        <x:v>2026-03-02T00:00:00.000Z</x:v>
      </x:c>
      <x:c r="H445" s="8" t="d">
        <x:v>2026-07-25T00:00:00.000Z</x:v>
      </x:c>
      <x:c r="I445" s="8" t="d">
        <x:v>2026-04-12T00:00:00.000Z</x:v>
      </x:c>
      <x:c r="J445" s="7" t="n">
        <x:v>0</x:v>
      </x:c>
      <x:c r="K445" s="1" t="n">
        <x:v>0</x:v>
      </x:c>
      <x:c r="L445" s="1" t="n">
        <x:v>0</x:v>
      </x:c>
      <x:c r="M445" s="1" t="n">
        <x:v>171</x:v>
      </x:c>
      <x:c r="N445" s="1"/>
      <x:c r="O445" s="1"/>
      <x:c r="P445" s="1"/>
      <x:c r="Q445" s="1"/>
    </x:row>
    <x:row r="446" ht="22" customHeight="1">
      <x:c r="A446" s="1" t="str">
        <x:v>O0441</x:v>
      </x:c>
      <x:c r="B446" s="1" t="str">
        <x:v>Simulated Ahmedabad Management Institute 441</x:v>
      </x:c>
      <x:c r="C446" s="1" t="str">
        <x:v>West</x:v>
      </x:c>
      <x:c r="D446" s="1" t="str">
        <x:v>Meeting Scheduled</x:v>
      </x:c>
      <x:c r="E446" s="1" t="str">
        <x:v>Open</x:v>
      </x:c>
      <x:c r="F446" s="7" t="n">
        <x:v>268000</x:v>
      </x:c>
      <x:c r="G446" s="8" t="d">
        <x:v>2026-01-30T00:00:00.000Z</x:v>
      </x:c>
      <x:c r="H446" s="8" t="d">
        <x:v>2026-05-23T00:00:00.000Z</x:v>
      </x:c>
      <x:c r="I446" s="8"/>
      <x:c r="J446" s="7" t="n">
        <x:v>0</x:v>
      </x:c>
      <x:c r="K446" s="1" t="n">
        <x:v>45.19</x:v>
      </x:c>
      <x:c r="L446" s="1" t="n">
        <x:v>1</x:v>
      </x:c>
      <x:c r="M446" s="1" t="n">
        <x:v>206</x:v>
      </x:c>
      <x:c r="N446" s="1"/>
      <x:c r="O446" s="1"/>
      <x:c r="P446" s="1"/>
      <x:c r="Q446" s="1"/>
    </x:row>
    <x:row r="447" ht="22" customHeight="1">
      <x:c r="A447" s="1" t="str">
        <x:v>O0442</x:v>
      </x:c>
      <x:c r="B447" s="1" t="str">
        <x:v>Simulated Jaipur Arts and Science College 442</x:v>
      </x:c>
      <x:c r="C447" s="1" t="str">
        <x:v>West</x:v>
      </x:c>
      <x:c r="D447" s="1" t="str">
        <x:v>Prospect Identified</x:v>
      </x:c>
      <x:c r="E447" s="1" t="str">
        <x:v>Open</x:v>
      </x:c>
      <x:c r="F447" s="7" t="n">
        <x:v>97000</x:v>
      </x:c>
      <x:c r="G447" s="8" t="d">
        <x:v>2026-06-12T00:00:00.000Z</x:v>
      </x:c>
      <x:c r="H447" s="8" t="d">
        <x:v>2026-10-06T00:00:00.000Z</x:v>
      </x:c>
      <x:c r="I447" s="8"/>
      <x:c r="J447" s="7" t="n">
        <x:v>0</x:v>
      </x:c>
      <x:c r="K447" s="1" t="n">
        <x:v>27.64</x:v>
      </x:c>
      <x:c r="L447" s="1" t="n">
        <x:v>1</x:v>
      </x:c>
      <x:c r="M447" s="1" t="n">
        <x:v>110</x:v>
      </x:c>
      <x:c r="N447" s="1"/>
      <x:c r="O447" s="1"/>
      <x:c r="P447" s="1"/>
      <x:c r="Q447" s="1"/>
    </x:row>
    <x:row r="448" ht="22" customHeight="1">
      <x:c r="A448" s="1" t="str">
        <x:v>O0443</x:v>
      </x:c>
      <x:c r="B448" s="1" t="str">
        <x:v>Simulated Bengaluru University 443</x:v>
      </x:c>
      <x:c r="C448" s="1" t="str">
        <x:v>South</x:v>
      </x:c>
      <x:c r="D448" s="1" t="str">
        <x:v>Negotiation</x:v>
      </x:c>
      <x:c r="E448" s="1" t="str">
        <x:v>Open</x:v>
      </x:c>
      <x:c r="F448" s="7" t="n">
        <x:v>410000</x:v>
      </x:c>
      <x:c r="G448" s="8" t="d">
        <x:v>2026-03-05T00:00:00.000Z</x:v>
      </x:c>
      <x:c r="H448" s="8" t="d">
        <x:v>2026-07-01T00:00:00.000Z</x:v>
      </x:c>
      <x:c r="I448" s="8"/>
      <x:c r="J448" s="7" t="n">
        <x:v>0</x:v>
      </x:c>
      <x:c r="K448" s="1" t="n">
        <x:v>55.7</x:v>
      </x:c>
      <x:c r="L448" s="1" t="n">
        <x:v>1</x:v>
      </x:c>
      <x:c r="M448" s="1" t="n">
        <x:v>141</x:v>
      </x:c>
      <x:c r="N448" s="1"/>
      <x:c r="O448" s="1"/>
      <x:c r="P448" s="1"/>
      <x:c r="Q448" s="1"/>
    </x:row>
    <x:row r="449" ht="22" customHeight="1">
      <x:c r="A449" s="1" t="str">
        <x:v>O0444</x:v>
      </x:c>
      <x:c r="B449" s="1" t="str">
        <x:v>Simulated Chennai Management Institute 444</x:v>
      </x:c>
      <x:c r="C449" s="1" t="str">
        <x:v>South</x:v>
      </x:c>
      <x:c r="D449" s="1" t="str">
        <x:v>Prospect Identified</x:v>
      </x:c>
      <x:c r="E449" s="1" t="str">
        <x:v>Open</x:v>
      </x:c>
      <x:c r="F449" s="7" t="n">
        <x:v>182000</x:v>
      </x:c>
      <x:c r="G449" s="8" t="d">
        <x:v>2026-07-23T00:00:00.000Z</x:v>
      </x:c>
      <x:c r="H449" s="8" t="d">
        <x:v>2026-11-20T00:00:00.000Z</x:v>
      </x:c>
      <x:c r="I449" s="8"/>
      <x:c r="J449" s="7" t="n">
        <x:v>0</x:v>
      </x:c>
      <x:c r="K449" s="1" t="n">
        <x:v>52.65</x:v>
      </x:c>
      <x:c r="L449" s="1" t="n">
        <x:v>0</x:v>
      </x:c>
      <x:c r="M449" s="1" t="n">
        <x:v>69</x:v>
      </x:c>
      <x:c r="N449" s="1"/>
      <x:c r="O449" s="1"/>
      <x:c r="P449" s="1"/>
      <x:c r="Q449" s="1"/>
    </x:row>
    <x:row r="450" ht="22" customHeight="1">
      <x:c r="A450" s="1" t="str">
        <x:v>O0445</x:v>
      </x:c>
      <x:c r="B450" s="1" t="str">
        <x:v>Simulated Hyderabad Engineering College 445</x:v>
      </x:c>
      <x:c r="C450" s="1" t="str">
        <x:v>South</x:v>
      </x:c>
      <x:c r="D450" s="1" t="str">
        <x:v>Prospect Identified</x:v>
      </x:c>
      <x:c r="E450" s="1" t="str">
        <x:v>Open</x:v>
      </x:c>
      <x:c r="F450" s="7" t="n">
        <x:v>293000</x:v>
      </x:c>
      <x:c r="G450" s="8" t="d">
        <x:v>2026-03-09T00:00:00.000Z</x:v>
      </x:c>
      <x:c r="H450" s="8" t="d">
        <x:v>2026-06-21T00:00:00.000Z</x:v>
      </x:c>
      <x:c r="I450" s="8"/>
      <x:c r="J450" s="7" t="n">
        <x:v>0</x:v>
      </x:c>
      <x:c r="K450" s="1" t="n">
        <x:v>43.92</x:v>
      </x:c>
      <x:c r="L450" s="1" t="n">
        <x:v>1</x:v>
      </x:c>
      <x:c r="M450" s="1" t="n">
        <x:v>205</x:v>
      </x:c>
      <x:c r="N450" s="1"/>
      <x:c r="O450" s="1"/>
      <x:c r="P450" s="1"/>
      <x:c r="Q450" s="1"/>
    </x:row>
    <x:row r="451" ht="22" customHeight="1">
      <x:c r="A451" s="1" t="str">
        <x:v>O0446</x:v>
      </x:c>
      <x:c r="B451" s="1" t="str">
        <x:v>Simulated Kolkata University 446</x:v>
      </x:c>
      <x:c r="C451" s="1" t="str">
        <x:v>East</x:v>
      </x:c>
      <x:c r="D451" s="1" t="str">
        <x:v>Closed Lost</x:v>
      </x:c>
      <x:c r="E451" s="1" t="str">
        <x:v>Lost</x:v>
      </x:c>
      <x:c r="F451" s="7" t="n">
        <x:v>930000</x:v>
      </x:c>
      <x:c r="G451" s="8" t="d">
        <x:v>2025-11-18T00:00:00.000Z</x:v>
      </x:c>
      <x:c r="H451" s="8" t="d">
        <x:v>2026-02-28T00:00:00.000Z</x:v>
      </x:c>
      <x:c r="I451" s="8" t="d">
        <x:v>2025-12-06T00:00:00.000Z</x:v>
      </x:c>
      <x:c r="J451" s="7" t="n">
        <x:v>0</x:v>
      </x:c>
      <x:c r="K451" s="1" t="n">
        <x:v>0</x:v>
      </x:c>
      <x:c r="L451" s="1" t="n">
        <x:v>0</x:v>
      </x:c>
      <x:c r="M451" s="1" t="n">
        <x:v>298</x:v>
      </x:c>
      <x:c r="N451" s="1"/>
      <x:c r="O451" s="1"/>
      <x:c r="P451" s="1"/>
      <x:c r="Q451" s="1"/>
    </x:row>
    <x:row r="452" ht="22" customHeight="1">
      <x:c r="A452" s="1" t="str">
        <x:v>O0447</x:v>
      </x:c>
      <x:c r="B452" s="1" t="str">
        <x:v>Simulated Bhubaneswar Engineering College 447</x:v>
      </x:c>
      <x:c r="C452" s="1" t="str">
        <x:v>East</x:v>
      </x:c>
      <x:c r="D452" s="1" t="str">
        <x:v>Negotiation</x:v>
      </x:c>
      <x:c r="E452" s="1" t="str">
        <x:v>Open</x:v>
      </x:c>
      <x:c r="F452" s="7" t="n">
        <x:v>119000</x:v>
      </x:c>
      <x:c r="G452" s="8" t="d">
        <x:v>2026-04-15T00:00:00.000Z</x:v>
      </x:c>
      <x:c r="H452" s="8" t="d">
        <x:v>2026-08-21T00:00:00.000Z</x:v>
      </x:c>
      <x:c r="I452" s="8"/>
      <x:c r="J452" s="7" t="n">
        <x:v>0</x:v>
      </x:c>
      <x:c r="K452" s="1" t="n">
        <x:v>52.71</x:v>
      </x:c>
      <x:c r="L452" s="1" t="n">
        <x:v>0</x:v>
      </x:c>
      <x:c r="M452" s="1" t="n">
        <x:v>80</x:v>
      </x:c>
      <x:c r="N452" s="1"/>
      <x:c r="O452" s="1"/>
      <x:c r="P452" s="1"/>
      <x:c r="Q452" s="1"/>
    </x:row>
    <x:row r="453" ht="22" customHeight="1">
      <x:c r="A453" s="1" t="str">
        <x:v>O0448</x:v>
      </x:c>
      <x:c r="B453" s="1" t="str">
        <x:v>Simulated Patna Engineering College 448</x:v>
      </x:c>
      <x:c r="C453" s="1" t="str">
        <x:v>East</x:v>
      </x:c>
      <x:c r="D453" s="1" t="str">
        <x:v>Closed Lost</x:v>
      </x:c>
      <x:c r="E453" s="1" t="str">
        <x:v>Lost</x:v>
      </x:c>
      <x:c r="F453" s="7" t="n">
        <x:v>246000</x:v>
      </x:c>
      <x:c r="G453" s="8" t="d">
        <x:v>2025-12-29T00:00:00.000Z</x:v>
      </x:c>
      <x:c r="H453" s="8" t="d">
        <x:v>2026-05-15T00:00:00.000Z</x:v>
      </x:c>
      <x:c r="I453" s="8" t="d">
        <x:v>2026-04-07T00:00:00.000Z</x:v>
      </x:c>
      <x:c r="J453" s="7" t="n">
        <x:v>0</x:v>
      </x:c>
      <x:c r="K453" s="1" t="n">
        <x:v>0</x:v>
      </x:c>
      <x:c r="L453" s="1" t="n">
        <x:v>0</x:v>
      </x:c>
      <x:c r="M453" s="1" t="n">
        <x:v>176</x:v>
      </x:c>
      <x:c r="N453" s="1"/>
      <x:c r="O453" s="1"/>
      <x:c r="P453" s="1"/>
      <x:c r="Q453" s="1"/>
    </x:row>
    <x:row r="454" ht="22" customHeight="1">
      <x:c r="A454" s="1" t="str">
        <x:v>O0449</x:v>
      </x:c>
      <x:c r="B454" s="1" t="str">
        <x:v>Simulated Guwahati Management Institute 449</x:v>
      </x:c>
      <x:c r="C454" s="1" t="str">
        <x:v>Northeast</x:v>
      </x:c>
      <x:c r="D454" s="1" t="str">
        <x:v>Prospect Identified</x:v>
      </x:c>
      <x:c r="E454" s="1" t="str">
        <x:v>Open</x:v>
      </x:c>
      <x:c r="F454" s="7" t="n">
        <x:v>208000</x:v>
      </x:c>
      <x:c r="G454" s="8" t="d">
        <x:v>2026-08-19T00:00:00.000Z</x:v>
      </x:c>
      <x:c r="H454" s="8" t="d">
        <x:v>2026-11-13T00:00:00.000Z</x:v>
      </x:c>
      <x:c r="I454" s="8"/>
      <x:c r="J454" s="7" t="n">
        <x:v>0</x:v>
      </x:c>
      <x:c r="K454" s="1" t="n">
        <x:v>42.2</x:v>
      </x:c>
      <x:c r="L454" s="1" t="n">
        <x:v>0</x:v>
      </x:c>
      <x:c r="M454" s="1" t="n">
        <x:v>42</x:v>
      </x:c>
      <x:c r="N454" s="1"/>
      <x:c r="O454" s="1"/>
      <x:c r="P454" s="1"/>
      <x:c r="Q454" s="1"/>
    </x:row>
    <x:row r="455" ht="22" customHeight="1">
      <x:c r="A455" s="1" t="str">
        <x:v>O0450</x:v>
      </x:c>
      <x:c r="B455" s="1" t="str">
        <x:v>Simulated Indore University 450</x:v>
      </x:c>
      <x:c r="C455" s="1" t="str">
        <x:v>Central</x:v>
      </x:c>
      <x:c r="D455" s="1" t="str">
        <x:v>Prospect Identified</x:v>
      </x:c>
      <x:c r="E455" s="1" t="str">
        <x:v>Open</x:v>
      </x:c>
      <x:c r="F455" s="7" t="n">
        <x:v>336000</x:v>
      </x:c>
      <x:c r="G455" s="8" t="d">
        <x:v>2026-07-01T00:00:00.000Z</x:v>
      </x:c>
      <x:c r="H455" s="8" t="d">
        <x:v>2026-09-19T00:00:00.000Z</x:v>
      </x:c>
      <x:c r="I455" s="8"/>
      <x:c r="J455" s="7" t="n">
        <x:v>0</x:v>
      </x:c>
      <x:c r="K455" s="1" t="n">
        <x:v>61.66</x:v>
      </x:c>
      <x:c r="L455" s="1" t="n">
        <x:v>0</x:v>
      </x:c>
      <x:c r="M455" s="1" t="n">
        <x:v>91</x:v>
      </x:c>
      <x:c r="N455" s="1"/>
      <x:c r="O455" s="1"/>
      <x:c r="P455" s="1"/>
      <x:c r="Q455" s="1"/>
    </x:row>
    <x:row r="456" ht="22" customHeight="1">
      <x:c r="A456" s="1" t="str">
        <x:v>O0451</x:v>
      </x:c>
      <x:c r="B456" s="1" t="str">
        <x:v>Simulated New Delhi Engineering College 451</x:v>
      </x:c>
      <x:c r="C456" s="1" t="str">
        <x:v>North</x:v>
      </x:c>
      <x:c r="D456" s="1" t="str">
        <x:v>Proposal Sent</x:v>
      </x:c>
      <x:c r="E456" s="1" t="str">
        <x:v>Open</x:v>
      </x:c>
      <x:c r="F456" s="7" t="n">
        <x:v>145000</x:v>
      </x:c>
      <x:c r="G456" s="8" t="d">
        <x:v>2026-07-10T00:00:00.000Z</x:v>
      </x:c>
      <x:c r="H456" s="8" t="d">
        <x:v>2026-11-27T00:00:00.000Z</x:v>
      </x:c>
      <x:c r="I456" s="8"/>
      <x:c r="J456" s="7" t="n">
        <x:v>0</x:v>
      </x:c>
      <x:c r="K456" s="1" t="n">
        <x:v>55.17</x:v>
      </x:c>
      <x:c r="L456" s="1" t="n">
        <x:v>1</x:v>
      </x:c>
      <x:c r="M456" s="1" t="n">
        <x:v>9</x:v>
      </x:c>
      <x:c r="N456" s="1"/>
      <x:c r="O456" s="1"/>
      <x:c r="P456" s="1"/>
      <x:c r="Q456" s="1"/>
    </x:row>
    <x:row r="457" ht="22" customHeight="1">
      <x:c r="A457" s="1" t="str">
        <x:v>O0452</x:v>
      </x:c>
      <x:c r="B457" s="1" t="str">
        <x:v>Simulated Noida Management Institute 452</x:v>
      </x:c>
      <x:c r="C457" s="1" t="str">
        <x:v>North</x:v>
      </x:c>
      <x:c r="D457" s="1" t="str">
        <x:v>Closed Won</x:v>
      </x:c>
      <x:c r="E457" s="1" t="str">
        <x:v>Won</x:v>
      </x:c>
      <x:c r="F457" s="7" t="n">
        <x:v>88000</x:v>
      </x:c>
      <x:c r="G457" s="8" t="d">
        <x:v>2026-02-13T00:00:00.000Z</x:v>
      </x:c>
      <x:c r="H457" s="8" t="d">
        <x:v>2026-05-20T00:00:00.000Z</x:v>
      </x:c>
      <x:c r="I457" s="8" t="d">
        <x:v>2026-06-08T00:00:00.000Z</x:v>
      </x:c>
      <x:c r="J457" s="7" t="n">
        <x:v>27726.03</x:v>
      </x:c>
      <x:c r="K457" s="1" t="n">
        <x:v>0</x:v>
      </x:c>
      <x:c r="L457" s="1" t="n">
        <x:v>0</x:v>
      </x:c>
      <x:c r="M457" s="1" t="n">
        <x:v>114</x:v>
      </x:c>
      <x:c r="N457" s="1"/>
      <x:c r="O457" s="1"/>
      <x:c r="P457" s="1"/>
      <x:c r="Q457" s="1"/>
    </x:row>
    <x:row r="458" ht="22" customHeight="1">
      <x:c r="A458" s="1" t="str">
        <x:v>O0453</x:v>
      </x:c>
      <x:c r="B458" s="1" t="str">
        <x:v>Simulated Gurugram Engineering College 453</x:v>
      </x:c>
      <x:c r="C458" s="1" t="str">
        <x:v>North</x:v>
      </x:c>
      <x:c r="D458" s="1" t="str">
        <x:v>Qualified</x:v>
      </x:c>
      <x:c r="E458" s="1" t="str">
        <x:v>Open</x:v>
      </x:c>
      <x:c r="F458" s="7" t="n">
        <x:v>336000</x:v>
      </x:c>
      <x:c r="G458" s="8" t="d">
        <x:v>2026-09-12T00:00:00.000Z</x:v>
      </x:c>
      <x:c r="H458" s="8" t="d">
        <x:v>2026-12-17T00:00:00.000Z</x:v>
      </x:c>
      <x:c r="I458" s="8"/>
      <x:c r="J458" s="7" t="n">
        <x:v>0</x:v>
      </x:c>
      <x:c r="K458" s="1" t="n">
        <x:v>51.61</x:v>
      </x:c>
      <x:c r="L458" s="1" t="n">
        <x:v>0</x:v>
      </x:c>
      <x:c r="M458" s="1" t="n">
        <x:v>4</x:v>
      </x:c>
      <x:c r="N458" s="1"/>
      <x:c r="O458" s="1"/>
      <x:c r="P458" s="1"/>
      <x:c r="Q458" s="1"/>
    </x:row>
    <x:row r="459" ht="22" customHeight="1">
      <x:c r="A459" s="1" t="str">
        <x:v>O0454</x:v>
      </x:c>
      <x:c r="B459" s="1" t="str">
        <x:v>Simulated Ludhiana Engineering College 454</x:v>
      </x:c>
      <x:c r="C459" s="1" t="str">
        <x:v>North</x:v>
      </x:c>
      <x:c r="D459" s="1" t="str">
        <x:v>Qualified</x:v>
      </x:c>
      <x:c r="E459" s="1" t="str">
        <x:v>Open</x:v>
      </x:c>
      <x:c r="F459" s="7" t="n">
        <x:v>308000</x:v>
      </x:c>
      <x:c r="G459" s="8" t="d">
        <x:v>2025-11-16T00:00:00.000Z</x:v>
      </x:c>
      <x:c r="H459" s="8" t="d">
        <x:v>2026-02-19T00:00:00.000Z</x:v>
      </x:c>
      <x:c r="I459" s="8"/>
      <x:c r="J459" s="7" t="n">
        <x:v>0</x:v>
      </x:c>
      <x:c r="K459" s="1" t="n">
        <x:v>45.99</x:v>
      </x:c>
      <x:c r="L459" s="1" t="n">
        <x:v>1</x:v>
      </x:c>
      <x:c r="M459" s="1" t="n">
        <x:v>295</x:v>
      </x:c>
      <x:c r="N459" s="1"/>
      <x:c r="O459" s="1"/>
      <x:c r="P459" s="1"/>
      <x:c r="Q459" s="1"/>
    </x:row>
    <x:row r="460" ht="22" customHeight="1">
      <x:c r="A460" s="1" t="str">
        <x:v>O0455</x:v>
      </x:c>
      <x:c r="B460" s="1" t="str">
        <x:v>Simulated Pune Arts and Science College 455</x:v>
      </x:c>
      <x:c r="C460" s="1" t="str">
        <x:v>West</x:v>
      </x:c>
      <x:c r="D460" s="1" t="str">
        <x:v>Closed Lost</x:v>
      </x:c>
      <x:c r="E460" s="1" t="str">
        <x:v>Lost</x:v>
      </x:c>
      <x:c r="F460" s="7" t="n">
        <x:v>119000</x:v>
      </x:c>
      <x:c r="G460" s="8" t="d">
        <x:v>2026-05-21T00:00:00.000Z</x:v>
      </x:c>
      <x:c r="H460" s="8" t="d">
        <x:v>2026-09-05T00:00:00.000Z</x:v>
      </x:c>
      <x:c r="I460" s="8" t="d">
        <x:v>2026-06-06T00:00:00.000Z</x:v>
      </x:c>
      <x:c r="J460" s="7" t="n">
        <x:v>0</x:v>
      </x:c>
      <x:c r="K460" s="1" t="n">
        <x:v>0</x:v>
      </x:c>
      <x:c r="L460" s="1" t="n">
        <x:v>0</x:v>
      </x:c>
      <x:c r="M460" s="1" t="n">
        <x:v>116</x:v>
      </x:c>
      <x:c r="N460" s="1"/>
      <x:c r="O460" s="1"/>
      <x:c r="P460" s="1"/>
      <x:c r="Q460" s="1"/>
    </x:row>
    <x:row r="461" ht="22" customHeight="1">
      <x:c r="A461" s="1" t="str">
        <x:v>O0456</x:v>
      </x:c>
      <x:c r="B461" s="1" t="str">
        <x:v>Simulated Ahmedabad Management Institute 456</x:v>
      </x:c>
      <x:c r="C461" s="1" t="str">
        <x:v>West</x:v>
      </x:c>
      <x:c r="D461" s="1" t="str">
        <x:v>Prospect Identified</x:v>
      </x:c>
      <x:c r="E461" s="1" t="str">
        <x:v>Open</x:v>
      </x:c>
      <x:c r="F461" s="7" t="n">
        <x:v>142000</x:v>
      </x:c>
      <x:c r="G461" s="8" t="d">
        <x:v>2025-10-01T00:00:00.000Z</x:v>
      </x:c>
      <x:c r="H461" s="8" t="d">
        <x:v>2026-01-13T00:00:00.000Z</x:v>
      </x:c>
      <x:c r="I461" s="8"/>
      <x:c r="J461" s="7" t="n">
        <x:v>0</x:v>
      </x:c>
      <x:c r="K461" s="1" t="n">
        <x:v>39.01</x:v>
      </x:c>
      <x:c r="L461" s="1" t="n">
        <x:v>1</x:v>
      </x:c>
      <x:c r="M461" s="1" t="n">
        <x:v>364</x:v>
      </x:c>
      <x:c r="N461" s="1"/>
      <x:c r="O461" s="1"/>
      <x:c r="P461" s="1"/>
      <x:c r="Q461" s="1"/>
    </x:row>
    <x:row r="462" ht="22" customHeight="1">
      <x:c r="A462" s="1" t="str">
        <x:v>O0457</x:v>
      </x:c>
      <x:c r="B462" s="1" t="str">
        <x:v>Simulated Jaipur Arts and Science College 457</x:v>
      </x:c>
      <x:c r="C462" s="1" t="str">
        <x:v>West</x:v>
      </x:c>
      <x:c r="D462" s="1" t="str">
        <x:v>Closed Lost</x:v>
      </x:c>
      <x:c r="E462" s="1" t="str">
        <x:v>Lost</x:v>
      </x:c>
      <x:c r="F462" s="7" t="n">
        <x:v>398000</x:v>
      </x:c>
      <x:c r="G462" s="8" t="d">
        <x:v>2026-08-11T00:00:00.000Z</x:v>
      </x:c>
      <x:c r="H462" s="8" t="d">
        <x:v>2026-12-27T00:00:00.000Z</x:v>
      </x:c>
      <x:c r="I462" s="8" t="d">
        <x:v>2026-09-26T00:00:00.000Z</x:v>
      </x:c>
      <x:c r="J462" s="7" t="n">
        <x:v>0</x:v>
      </x:c>
      <x:c r="K462" s="1" t="n">
        <x:v>0</x:v>
      </x:c>
      <x:c r="L462" s="1" t="n">
        <x:v>0</x:v>
      </x:c>
      <x:c r="M462" s="1" t="n">
        <x:v>4</x:v>
      </x:c>
      <x:c r="N462" s="1"/>
      <x:c r="O462" s="1"/>
      <x:c r="P462" s="1"/>
      <x:c r="Q462" s="1"/>
    </x:row>
    <x:row r="463" ht="22" customHeight="1">
      <x:c r="A463" s="1" t="str">
        <x:v>O0458</x:v>
      </x:c>
      <x:c r="B463" s="1" t="str">
        <x:v>Simulated Bengaluru Engineering College 458</x:v>
      </x:c>
      <x:c r="C463" s="1" t="str">
        <x:v>South</x:v>
      </x:c>
      <x:c r="D463" s="1" t="str">
        <x:v>Meeting Scheduled</x:v>
      </x:c>
      <x:c r="E463" s="1" t="str">
        <x:v>Open</x:v>
      </x:c>
      <x:c r="F463" s="7" t="n">
        <x:v>142000</x:v>
      </x:c>
      <x:c r="G463" s="8" t="d">
        <x:v>2026-03-30T00:00:00.000Z</x:v>
      </x:c>
      <x:c r="H463" s="8" t="d">
        <x:v>2026-08-02T00:00:00.000Z</x:v>
      </x:c>
      <x:c r="I463" s="8"/>
      <x:c r="J463" s="7" t="n">
        <x:v>0</x:v>
      </x:c>
      <x:c r="K463" s="1" t="n">
        <x:v>34.97</x:v>
      </x:c>
      <x:c r="L463" s="1" t="n">
        <x:v>1</x:v>
      </x:c>
      <x:c r="M463" s="1" t="n">
        <x:v>153</x:v>
      </x:c>
      <x:c r="N463" s="1"/>
      <x:c r="O463" s="1"/>
      <x:c r="P463" s="1"/>
      <x:c r="Q463" s="1"/>
    </x:row>
    <x:row r="464" ht="22" customHeight="1">
      <x:c r="A464" s="1" t="str">
        <x:v>O0459</x:v>
      </x:c>
      <x:c r="B464" s="1" t="str">
        <x:v>Simulated Chennai University 459</x:v>
      </x:c>
      <x:c r="C464" s="1" t="str">
        <x:v>South</x:v>
      </x:c>
      <x:c r="D464" s="1" t="str">
        <x:v>Proposal Sent</x:v>
      </x:c>
      <x:c r="E464" s="1" t="str">
        <x:v>Open</x:v>
      </x:c>
      <x:c r="F464" s="7" t="n">
        <x:v>746000</x:v>
      </x:c>
      <x:c r="G464" s="8" t="d">
        <x:v>2026-04-29T00:00:00.000Z</x:v>
      </x:c>
      <x:c r="H464" s="8" t="d">
        <x:v>2026-08-31T00:00:00.000Z</x:v>
      </x:c>
      <x:c r="I464" s="8"/>
      <x:c r="J464" s="7" t="n">
        <x:v>0</x:v>
      </x:c>
      <x:c r="K464" s="1" t="n">
        <x:v>76.91</x:v>
      </x:c>
      <x:c r="L464" s="1" t="n">
        <x:v>1</x:v>
      </x:c>
      <x:c r="M464" s="1" t="n">
        <x:v>86</x:v>
      </x:c>
      <x:c r="N464" s="1"/>
      <x:c r="O464" s="1"/>
      <x:c r="P464" s="1"/>
      <x:c r="Q464" s="1"/>
    </x:row>
    <x:row r="465" ht="22" customHeight="1">
      <x:c r="A465" s="1" t="str">
        <x:v>O0460</x:v>
      </x:c>
      <x:c r="B465" s="1" t="str">
        <x:v>Simulated Hyderabad Arts and Science College 460</x:v>
      </x:c>
      <x:c r="C465" s="1" t="str">
        <x:v>South</x:v>
      </x:c>
      <x:c r="D465" s="1" t="str">
        <x:v>Qualified</x:v>
      </x:c>
      <x:c r="E465" s="1" t="str">
        <x:v>Open</x:v>
      </x:c>
      <x:c r="F465" s="7" t="n">
        <x:v>183000</x:v>
      </x:c>
      <x:c r="G465" s="8" t="d">
        <x:v>2026-02-04T00:00:00.000Z</x:v>
      </x:c>
      <x:c r="H465" s="8" t="d">
        <x:v>2026-06-30T00:00:00.000Z</x:v>
      </x:c>
      <x:c r="I465" s="8"/>
      <x:c r="J465" s="7" t="n">
        <x:v>0</x:v>
      </x:c>
      <x:c r="K465" s="1" t="n">
        <x:v>37.97</x:v>
      </x:c>
      <x:c r="L465" s="1" t="n">
        <x:v>1</x:v>
      </x:c>
      <x:c r="M465" s="1" t="n">
        <x:v>230</x:v>
      </x:c>
      <x:c r="N465" s="1"/>
      <x:c r="O465" s="1"/>
      <x:c r="P465" s="1"/>
      <x:c r="Q465" s="1"/>
    </x:row>
    <x:row r="466" ht="22" customHeight="1">
      <x:c r="A466" s="1" t="str">
        <x:v>O0461</x:v>
      </x:c>
      <x:c r="B466" s="1" t="str">
        <x:v>Simulated Kolkata Management Institute 461</x:v>
      </x:c>
      <x:c r="C466" s="1" t="str">
        <x:v>East</x:v>
      </x:c>
      <x:c r="D466" s="1" t="str">
        <x:v>Initial Contact</x:v>
      </x:c>
      <x:c r="E466" s="1" t="str">
        <x:v>Open</x:v>
      </x:c>
      <x:c r="F466" s="7" t="n">
        <x:v>375000</x:v>
      </x:c>
      <x:c r="G466" s="8" t="d">
        <x:v>2026-08-14T00:00:00.000Z</x:v>
      </x:c>
      <x:c r="H466" s="8" t="d">
        <x:v>2026-11-15T00:00:00.000Z</x:v>
      </x:c>
      <x:c r="I466" s="8"/>
      <x:c r="J466" s="7" t="n">
        <x:v>0</x:v>
      </x:c>
      <x:c r="K466" s="1" t="n">
        <x:v>42.56</x:v>
      </x:c>
      <x:c r="L466" s="1" t="n">
        <x:v>0</x:v>
      </x:c>
      <x:c r="M466" s="1" t="n">
        <x:v>7</x:v>
      </x:c>
      <x:c r="N466" s="1"/>
      <x:c r="O466" s="1"/>
      <x:c r="P466" s="1"/>
      <x:c r="Q466" s="1"/>
    </x:row>
    <x:row r="467" ht="22" customHeight="1">
      <x:c r="A467" s="1" t="str">
        <x:v>O0462</x:v>
      </x:c>
      <x:c r="B467" s="1" t="str">
        <x:v>Simulated Bhubaneswar Management Institute 462</x:v>
      </x:c>
      <x:c r="C467" s="1" t="str">
        <x:v>East</x:v>
      </x:c>
      <x:c r="D467" s="1" t="str">
        <x:v>Initial Contact</x:v>
      </x:c>
      <x:c r="E467" s="1" t="str">
        <x:v>Open</x:v>
      </x:c>
      <x:c r="F467" s="7" t="n">
        <x:v>175000</x:v>
      </x:c>
      <x:c r="G467" s="8" t="d">
        <x:v>2026-08-19T00:00:00.000Z</x:v>
      </x:c>
      <x:c r="H467" s="8" t="d">
        <x:v>2026-12-08T00:00:00.000Z</x:v>
      </x:c>
      <x:c r="I467" s="8"/>
      <x:c r="J467" s="7" t="n">
        <x:v>0</x:v>
      </x:c>
      <x:c r="K467" s="1" t="n">
        <x:v>37.15</x:v>
      </x:c>
      <x:c r="L467" s="1" t="n">
        <x:v>0</x:v>
      </x:c>
      <x:c r="M467" s="1" t="n">
        <x:v>1</x:v>
      </x:c>
      <x:c r="N467" s="1"/>
      <x:c r="O467" s="1"/>
      <x:c r="P467" s="1"/>
      <x:c r="Q467" s="1"/>
    </x:row>
    <x:row r="468" ht="22" customHeight="1">
      <x:c r="A468" s="1" t="str">
        <x:v>O0463</x:v>
      </x:c>
      <x:c r="B468" s="1" t="str">
        <x:v>Simulated Patna Management Institute 463</x:v>
      </x:c>
      <x:c r="C468" s="1" t="str">
        <x:v>East</x:v>
      </x:c>
      <x:c r="D468" s="1" t="str">
        <x:v>Closed Lost</x:v>
      </x:c>
      <x:c r="E468" s="1" t="str">
        <x:v>Lost</x:v>
      </x:c>
      <x:c r="F468" s="7" t="n">
        <x:v>128000</x:v>
      </x:c>
      <x:c r="G468" s="8" t="d">
        <x:v>2025-11-22T00:00:00.000Z</x:v>
      </x:c>
      <x:c r="H468" s="8" t="d">
        <x:v>2026-02-25T00:00:00.000Z</x:v>
      </x:c>
      <x:c r="I468" s="8" t="d">
        <x:v>2026-02-25T00:00:00.000Z</x:v>
      </x:c>
      <x:c r="J468" s="7" t="n">
        <x:v>0</x:v>
      </x:c>
      <x:c r="K468" s="1" t="n">
        <x:v>0</x:v>
      </x:c>
      <x:c r="L468" s="1" t="n">
        <x:v>0</x:v>
      </x:c>
      <x:c r="M468" s="1" t="n">
        <x:v>217</x:v>
      </x:c>
      <x:c r="N468" s="1"/>
      <x:c r="O468" s="1"/>
      <x:c r="P468" s="1"/>
      <x:c r="Q468" s="1"/>
    </x:row>
    <x:row r="469" ht="22" customHeight="1">
      <x:c r="A469" s="1" t="str">
        <x:v>O0464</x:v>
      </x:c>
      <x:c r="B469" s="1" t="str">
        <x:v>Simulated Guwahati Arts and Science College 464</x:v>
      </x:c>
      <x:c r="C469" s="1" t="str">
        <x:v>Northeast</x:v>
      </x:c>
      <x:c r="D469" s="1" t="str">
        <x:v>Closed Lost</x:v>
      </x:c>
      <x:c r="E469" s="1" t="str">
        <x:v>Lost</x:v>
      </x:c>
      <x:c r="F469" s="7" t="n">
        <x:v>224000</x:v>
      </x:c>
      <x:c r="G469" s="8" t="d">
        <x:v>2025-10-06T00:00:00.000Z</x:v>
      </x:c>
      <x:c r="H469" s="8" t="d">
        <x:v>2026-02-24T00:00:00.000Z</x:v>
      </x:c>
      <x:c r="I469" s="8" t="d">
        <x:v>2026-01-27T00:00:00.000Z</x:v>
      </x:c>
      <x:c r="J469" s="7" t="n">
        <x:v>0</x:v>
      </x:c>
      <x:c r="K469" s="1" t="n">
        <x:v>0</x:v>
      </x:c>
      <x:c r="L469" s="1" t="n">
        <x:v>0</x:v>
      </x:c>
      <x:c r="M469" s="1" t="n">
        <x:v>246</x:v>
      </x:c>
      <x:c r="N469" s="1"/>
      <x:c r="O469" s="1"/>
      <x:c r="P469" s="1"/>
      <x:c r="Q469" s="1"/>
    </x:row>
    <x:row r="470" ht="22" customHeight="1">
      <x:c r="A470" s="1" t="str">
        <x:v>O0465</x:v>
      </x:c>
      <x:c r="B470" s="1" t="str">
        <x:v>Simulated Indore Arts and Science College 465</x:v>
      </x:c>
      <x:c r="C470" s="1" t="str">
        <x:v>Central</x:v>
      </x:c>
      <x:c r="D470" s="1" t="str">
        <x:v>Closed Lost</x:v>
      </x:c>
      <x:c r="E470" s="1" t="str">
        <x:v>Lost</x:v>
      </x:c>
      <x:c r="F470" s="7" t="n">
        <x:v>188000</x:v>
      </x:c>
      <x:c r="G470" s="8" t="d">
        <x:v>2025-10-02T00:00:00.000Z</x:v>
      </x:c>
      <x:c r="H470" s="8" t="d">
        <x:v>2026-01-30T00:00:00.000Z</x:v>
      </x:c>
      <x:c r="I470" s="8" t="d">
        <x:v>2025-10-18T00:00:00.000Z</x:v>
      </x:c>
      <x:c r="J470" s="7" t="n">
        <x:v>0</x:v>
      </x:c>
      <x:c r="K470" s="1" t="n">
        <x:v>0</x:v>
      </x:c>
      <x:c r="L470" s="1" t="n">
        <x:v>0</x:v>
      </x:c>
      <x:c r="M470" s="1" t="n">
        <x:v>347</x:v>
      </x:c>
      <x:c r="N470" s="1"/>
      <x:c r="O470" s="1"/>
      <x:c r="P470" s="1"/>
      <x:c r="Q470" s="1"/>
    </x:row>
    <x:row r="471" ht="22" customHeight="1">
      <x:c r="A471" s="1" t="str">
        <x:v>O0466</x:v>
      </x:c>
      <x:c r="B471" s="1" t="str">
        <x:v>Simulated New Delhi Management Institute 466</x:v>
      </x:c>
      <x:c r="C471" s="1" t="str">
        <x:v>North</x:v>
      </x:c>
      <x:c r="D471" s="1" t="str">
        <x:v>Qualified</x:v>
      </x:c>
      <x:c r="E471" s="1" t="str">
        <x:v>Open</x:v>
      </x:c>
      <x:c r="F471" s="7" t="n">
        <x:v>288000</x:v>
      </x:c>
      <x:c r="G471" s="8" t="d">
        <x:v>2026-09-12T00:00:00.000Z</x:v>
      </x:c>
      <x:c r="H471" s="8" t="d">
        <x:v>2027-02-02T00:00:00.000Z</x:v>
      </x:c>
      <x:c r="I471" s="8"/>
      <x:c r="J471" s="7" t="n">
        <x:v>0</x:v>
      </x:c>
      <x:c r="K471" s="1" t="n">
        <x:v>48.1</x:v>
      </x:c>
      <x:c r="L471" s="1" t="n">
        <x:v>1</x:v>
      </x:c>
      <x:c r="M471" s="1" t="n">
        <x:v>6</x:v>
      </x:c>
      <x:c r="N471" s="1"/>
      <x:c r="O471" s="1"/>
      <x:c r="P471" s="1"/>
      <x:c r="Q471" s="1"/>
    </x:row>
    <x:row r="472" ht="22" customHeight="1">
      <x:c r="A472" s="1" t="str">
        <x:v>O0467</x:v>
      </x:c>
      <x:c r="B472" s="1" t="str">
        <x:v>Simulated Noida University 467</x:v>
      </x:c>
      <x:c r="C472" s="1" t="str">
        <x:v>North</x:v>
      </x:c>
      <x:c r="D472" s="1" t="str">
        <x:v>Initial Contact</x:v>
      </x:c>
      <x:c r="E472" s="1" t="str">
        <x:v>Open</x:v>
      </x:c>
      <x:c r="F472" s="7" t="n">
        <x:v>275000</x:v>
      </x:c>
      <x:c r="G472" s="8" t="d">
        <x:v>2025-10-11T00:00:00.000Z</x:v>
      </x:c>
      <x:c r="H472" s="8" t="d">
        <x:v>2026-02-17T00:00:00.000Z</x:v>
      </x:c>
      <x:c r="I472" s="8"/>
      <x:c r="J472" s="7" t="n">
        <x:v>0</x:v>
      </x:c>
      <x:c r="K472" s="1" t="n">
        <x:v>42.79</x:v>
      </x:c>
      <x:c r="L472" s="1" t="n">
        <x:v>1</x:v>
      </x:c>
      <x:c r="M472" s="1" t="n">
        <x:v>326</x:v>
      </x:c>
      <x:c r="N472" s="1"/>
      <x:c r="O472" s="1"/>
      <x:c r="P472" s="1"/>
      <x:c r="Q472" s="1"/>
    </x:row>
    <x:row r="473" ht="22" customHeight="1">
      <x:c r="A473" s="1" t="str">
        <x:v>O0468</x:v>
      </x:c>
      <x:c r="B473" s="1" t="str">
        <x:v>Simulated Gurugram University 468</x:v>
      </x:c>
      <x:c r="C473" s="1" t="str">
        <x:v>North</x:v>
      </x:c>
      <x:c r="D473" s="1" t="str">
        <x:v>Closed Lost</x:v>
      </x:c>
      <x:c r="E473" s="1" t="str">
        <x:v>Lost</x:v>
      </x:c>
      <x:c r="F473" s="7" t="n">
        <x:v>356000</x:v>
      </x:c>
      <x:c r="G473" s="8" t="d">
        <x:v>2026-04-26T00:00:00.000Z</x:v>
      </x:c>
      <x:c r="H473" s="8" t="d">
        <x:v>2026-09-14T00:00:00.000Z</x:v>
      </x:c>
      <x:c r="I473" s="8" t="d">
        <x:v>2026-09-05T00:00:00.000Z</x:v>
      </x:c>
      <x:c r="J473" s="7" t="n">
        <x:v>0</x:v>
      </x:c>
      <x:c r="K473" s="1" t="n">
        <x:v>0</x:v>
      </x:c>
      <x:c r="L473" s="1" t="n">
        <x:v>0</x:v>
      </x:c>
      <x:c r="M473" s="1" t="n">
        <x:v>25</x:v>
      </x:c>
      <x:c r="N473" s="1"/>
      <x:c r="O473" s="1"/>
      <x:c r="P473" s="1"/>
      <x:c r="Q473" s="1"/>
    </x:row>
    <x:row r="474" ht="22" customHeight="1">
      <x:c r="A474" s="1" t="str">
        <x:v>O0469</x:v>
      </x:c>
      <x:c r="B474" s="1" t="str">
        <x:v>Simulated Ludhiana Engineering College 469</x:v>
      </x:c>
      <x:c r="C474" s="1" t="str">
        <x:v>North</x:v>
      </x:c>
      <x:c r="D474" s="1" t="str">
        <x:v>Prospect Identified</x:v>
      </x:c>
      <x:c r="E474" s="1" t="str">
        <x:v>Open</x:v>
      </x:c>
      <x:c r="F474" s="7" t="n">
        <x:v>216000</x:v>
      </x:c>
      <x:c r="G474" s="8" t="d">
        <x:v>2026-09-12T00:00:00.000Z</x:v>
      </x:c>
      <x:c r="H474" s="8" t="d">
        <x:v>2026-12-08T00:00:00.000Z</x:v>
      </x:c>
      <x:c r="I474" s="8"/>
      <x:c r="J474" s="7" t="n">
        <x:v>0</x:v>
      </x:c>
      <x:c r="K474" s="1" t="n">
        <x:v>43.92</x:v>
      </x:c>
      <x:c r="L474" s="1" t="n">
        <x:v>0</x:v>
      </x:c>
      <x:c r="M474" s="1" t="n">
        <x:v>18</x:v>
      </x:c>
      <x:c r="N474" s="1"/>
      <x:c r="O474" s="1"/>
      <x:c r="P474" s="1"/>
      <x:c r="Q474" s="1"/>
    </x:row>
    <x:row r="475" ht="22" customHeight="1">
      <x:c r="A475" s="1" t="str">
        <x:v>O0470</x:v>
      </x:c>
      <x:c r="B475" s="1" t="str">
        <x:v>Simulated Pune Management Institute 470</x:v>
      </x:c>
      <x:c r="C475" s="1" t="str">
        <x:v>West</x:v>
      </x:c>
      <x:c r="D475" s="1" t="str">
        <x:v>Qualified</x:v>
      </x:c>
      <x:c r="E475" s="1" t="str">
        <x:v>Open</x:v>
      </x:c>
      <x:c r="F475" s="7" t="n">
        <x:v>202000</x:v>
      </x:c>
      <x:c r="G475" s="8" t="d">
        <x:v>2026-06-21T00:00:00.000Z</x:v>
      </x:c>
      <x:c r="H475" s="8" t="d">
        <x:v>2026-11-08T00:00:00.000Z</x:v>
      </x:c>
      <x:c r="I475" s="8"/>
      <x:c r="J475" s="7" t="n">
        <x:v>0</x:v>
      </x:c>
      <x:c r="K475" s="1" t="n">
        <x:v>46.96</x:v>
      </x:c>
      <x:c r="L475" s="1" t="n">
        <x:v>0</x:v>
      </x:c>
      <x:c r="M475" s="1" t="n">
        <x:v>94</x:v>
      </x:c>
      <x:c r="N475" s="1"/>
      <x:c r="O475" s="1"/>
      <x:c r="P475" s="1"/>
      <x:c r="Q475" s="1"/>
    </x:row>
    <x:row r="476" ht="22" customHeight="1">
      <x:c r="A476" s="1" t="str">
        <x:v>O0471</x:v>
      </x:c>
      <x:c r="B476" s="1" t="str">
        <x:v>Simulated Ahmedabad Management Institute 471</x:v>
      </x:c>
      <x:c r="C476" s="1" t="str">
        <x:v>West</x:v>
      </x:c>
      <x:c r="D476" s="1" t="str">
        <x:v>Qualified</x:v>
      </x:c>
      <x:c r="E476" s="1" t="str">
        <x:v>Open</x:v>
      </x:c>
      <x:c r="F476" s="7" t="n">
        <x:v>126000</x:v>
      </x:c>
      <x:c r="G476" s="8" t="d">
        <x:v>2025-12-14T00:00:00.000Z</x:v>
      </x:c>
      <x:c r="H476" s="8" t="d">
        <x:v>2026-05-03T00:00:00.000Z</x:v>
      </x:c>
      <x:c r="I476" s="8"/>
      <x:c r="J476" s="7" t="n">
        <x:v>0</x:v>
      </x:c>
      <x:c r="K476" s="1" t="n">
        <x:v>42.94</x:v>
      </x:c>
      <x:c r="L476" s="1" t="n">
        <x:v>0</x:v>
      </x:c>
      <x:c r="M476" s="1" t="n">
        <x:v>281</x:v>
      </x:c>
      <x:c r="N476" s="1"/>
      <x:c r="O476" s="1"/>
      <x:c r="P476" s="1"/>
      <x:c r="Q476" s="1"/>
    </x:row>
    <x:row r="477" ht="22" customHeight="1">
      <x:c r="A477" s="1" t="str">
        <x:v>O0472</x:v>
      </x:c>
      <x:c r="B477" s="1" t="str">
        <x:v>Simulated Jaipur Management Institute 472</x:v>
      </x:c>
      <x:c r="C477" s="1" t="str">
        <x:v>West</x:v>
      </x:c>
      <x:c r="D477" s="1" t="str">
        <x:v>Prospect Identified</x:v>
      </x:c>
      <x:c r="E477" s="1" t="str">
        <x:v>Open</x:v>
      </x:c>
      <x:c r="F477" s="7" t="n">
        <x:v>128000</x:v>
      </x:c>
      <x:c r="G477" s="8" t="d">
        <x:v>2026-09-29T00:00:00.000Z</x:v>
      </x:c>
      <x:c r="H477" s="8" t="d">
        <x:v>2027-01-08T00:00:00.000Z</x:v>
      </x:c>
      <x:c r="I477" s="8"/>
      <x:c r="J477" s="7" t="n">
        <x:v>0</x:v>
      </x:c>
      <x:c r="K477" s="1" t="n">
        <x:v>34</x:v>
      </x:c>
      <x:c r="L477" s="1" t="n">
        <x:v>0</x:v>
      </x:c>
      <x:c r="M477" s="1" t="n">
        <x:v>1</x:v>
      </x:c>
      <x:c r="N477" s="1"/>
      <x:c r="O477" s="1"/>
      <x:c r="P477" s="1"/>
      <x:c r="Q477" s="1"/>
    </x:row>
    <x:row r="478" ht="22" customHeight="1">
      <x:c r="A478" s="1" t="str">
        <x:v>O0473</x:v>
      </x:c>
      <x:c r="B478" s="1" t="str">
        <x:v>Simulated Bengaluru Engineering College 473</x:v>
      </x:c>
      <x:c r="C478" s="1" t="str">
        <x:v>South</x:v>
      </x:c>
      <x:c r="D478" s="1" t="str">
        <x:v>Closed Lost</x:v>
      </x:c>
      <x:c r="E478" s="1" t="str">
        <x:v>Lost</x:v>
      </x:c>
      <x:c r="F478" s="7" t="n">
        <x:v>104000</x:v>
      </x:c>
      <x:c r="G478" s="8" t="d">
        <x:v>2026-06-01T00:00:00.000Z</x:v>
      </x:c>
      <x:c r="H478" s="8" t="d">
        <x:v>2026-10-08T00:00:00.000Z</x:v>
      </x:c>
      <x:c r="I478" s="8" t="d">
        <x:v>2026-06-25T00:00:00.000Z</x:v>
      </x:c>
      <x:c r="J478" s="7" t="n">
        <x:v>0</x:v>
      </x:c>
      <x:c r="K478" s="1" t="n">
        <x:v>0</x:v>
      </x:c>
      <x:c r="L478" s="1" t="n">
        <x:v>0</x:v>
      </x:c>
      <x:c r="M478" s="1" t="n">
        <x:v>97</x:v>
      </x:c>
      <x:c r="N478" s="1"/>
      <x:c r="O478" s="1"/>
      <x:c r="P478" s="1"/>
      <x:c r="Q478" s="1"/>
    </x:row>
    <x:row r="479" ht="22" customHeight="1">
      <x:c r="A479" s="1" t="str">
        <x:v>O0474</x:v>
      </x:c>
      <x:c r="B479" s="1" t="str">
        <x:v>Simulated Chennai Engineering College 474</x:v>
      </x:c>
      <x:c r="C479" s="1" t="str">
        <x:v>South</x:v>
      </x:c>
      <x:c r="D479" s="1" t="str">
        <x:v>Qualified</x:v>
      </x:c>
      <x:c r="E479" s="1" t="str">
        <x:v>Open</x:v>
      </x:c>
      <x:c r="F479" s="7" t="n">
        <x:v>248000</x:v>
      </x:c>
      <x:c r="G479" s="8" t="d">
        <x:v>2026-03-13T00:00:00.000Z</x:v>
      </x:c>
      <x:c r="H479" s="8" t="d">
        <x:v>2026-06-11T00:00:00.000Z</x:v>
      </x:c>
      <x:c r="I479" s="8"/>
      <x:c r="J479" s="7" t="n">
        <x:v>0</x:v>
      </x:c>
      <x:c r="K479" s="1" t="n">
        <x:v>40.83</x:v>
      </x:c>
      <x:c r="L479" s="1" t="n">
        <x:v>0</x:v>
      </x:c>
      <x:c r="M479" s="1" t="n">
        <x:v>184</x:v>
      </x:c>
      <x:c r="N479" s="1"/>
      <x:c r="O479" s="1"/>
      <x:c r="P479" s="1"/>
      <x:c r="Q479" s="1"/>
    </x:row>
    <x:row r="480" ht="22" customHeight="1">
      <x:c r="A480" s="1" t="str">
        <x:v>O0475</x:v>
      </x:c>
      <x:c r="B480" s="1" t="str">
        <x:v>Simulated Hyderabad University 475</x:v>
      </x:c>
      <x:c r="C480" s="1" t="str">
        <x:v>South</x:v>
      </x:c>
      <x:c r="D480" s="1" t="str">
        <x:v>Qualified</x:v>
      </x:c>
      <x:c r="E480" s="1" t="str">
        <x:v>Open</x:v>
      </x:c>
      <x:c r="F480" s="7" t="n">
        <x:v>451000</x:v>
      </x:c>
      <x:c r="G480" s="8" t="d">
        <x:v>2026-01-13T00:00:00.000Z</x:v>
      </x:c>
      <x:c r="H480" s="8" t="d">
        <x:v>2026-04-14T00:00:00.000Z</x:v>
      </x:c>
      <x:c r="I480" s="8"/>
      <x:c r="J480" s="7" t="n">
        <x:v>0</x:v>
      </x:c>
      <x:c r="K480" s="1" t="n">
        <x:v>40.71</x:v>
      </x:c>
      <x:c r="L480" s="1" t="n">
        <x:v>1</x:v>
      </x:c>
      <x:c r="M480" s="1" t="n">
        <x:v>230</x:v>
      </x:c>
      <x:c r="N480" s="1"/>
      <x:c r="O480" s="1"/>
      <x:c r="P480" s="1"/>
      <x:c r="Q480" s="1"/>
    </x:row>
    <x:row r="481" ht="22" customHeight="1">
      <x:c r="A481" s="1" t="str">
        <x:v>O0476</x:v>
      </x:c>
      <x:c r="B481" s="1" t="str">
        <x:v>Simulated Kolkata University 476</x:v>
      </x:c>
      <x:c r="C481" s="1" t="str">
        <x:v>East</x:v>
      </x:c>
      <x:c r="D481" s="1" t="str">
        <x:v>Closed Lost</x:v>
      </x:c>
      <x:c r="E481" s="1" t="str">
        <x:v>Lost</x:v>
      </x:c>
      <x:c r="F481" s="7" t="n">
        <x:v>545000</x:v>
      </x:c>
      <x:c r="G481" s="8" t="d">
        <x:v>2026-08-07T00:00:00.000Z</x:v>
      </x:c>
      <x:c r="H481" s="8" t="d">
        <x:v>2026-12-21T00:00:00.000Z</x:v>
      </x:c>
      <x:c r="I481" s="8" t="d">
        <x:v>2026-08-19T00:00:00.000Z</x:v>
      </x:c>
      <x:c r="J481" s="7" t="n">
        <x:v>0</x:v>
      </x:c>
      <x:c r="K481" s="1" t="n">
        <x:v>0</x:v>
      </x:c>
      <x:c r="L481" s="1" t="n">
        <x:v>0</x:v>
      </x:c>
      <x:c r="M481" s="1" t="n">
        <x:v>42</x:v>
      </x:c>
      <x:c r="N481" s="1"/>
      <x:c r="O481" s="1"/>
      <x:c r="P481" s="1"/>
      <x:c r="Q481" s="1"/>
    </x:row>
    <x:row r="482" ht="22" customHeight="1">
      <x:c r="A482" s="1" t="str">
        <x:v>O0477</x:v>
      </x:c>
      <x:c r="B482" s="1" t="str">
        <x:v>Simulated Bhubaneswar Engineering College 477</x:v>
      </x:c>
      <x:c r="C482" s="1" t="str">
        <x:v>East</x:v>
      </x:c>
      <x:c r="D482" s="1" t="str">
        <x:v>Meeting Scheduled</x:v>
      </x:c>
      <x:c r="E482" s="1" t="str">
        <x:v>Open</x:v>
      </x:c>
      <x:c r="F482" s="7" t="n">
        <x:v>125000</x:v>
      </x:c>
      <x:c r="G482" s="8" t="d">
        <x:v>2026-02-22T00:00:00.000Z</x:v>
      </x:c>
      <x:c r="H482" s="8" t="d">
        <x:v>2026-05-18T00:00:00.000Z</x:v>
      </x:c>
      <x:c r="I482" s="8"/>
      <x:c r="J482" s="7" t="n">
        <x:v>0</x:v>
      </x:c>
      <x:c r="K482" s="1" t="n">
        <x:v>43.57</x:v>
      </x:c>
      <x:c r="L482" s="1" t="n">
        <x:v>1</x:v>
      </x:c>
      <x:c r="M482" s="1" t="n">
        <x:v>182</x:v>
      </x:c>
      <x:c r="N482" s="1"/>
      <x:c r="O482" s="1"/>
      <x:c r="P482" s="1"/>
      <x:c r="Q482" s="1"/>
    </x:row>
    <x:row r="483" ht="22" customHeight="1">
      <x:c r="A483" s="1" t="str">
        <x:v>O0478</x:v>
      </x:c>
      <x:c r="B483" s="1" t="str">
        <x:v>Simulated Patna University 478</x:v>
      </x:c>
      <x:c r="C483" s="1" t="str">
        <x:v>East</x:v>
      </x:c>
      <x:c r="D483" s="1" t="str">
        <x:v>Prospect Identified</x:v>
      </x:c>
      <x:c r="E483" s="1" t="str">
        <x:v>Open</x:v>
      </x:c>
      <x:c r="F483" s="7" t="n">
        <x:v>623000</x:v>
      </x:c>
      <x:c r="G483" s="8" t="d">
        <x:v>2026-02-06T00:00:00.000Z</x:v>
      </x:c>
      <x:c r="H483" s="8" t="d">
        <x:v>2026-06-23T00:00:00.000Z</x:v>
      </x:c>
      <x:c r="I483" s="8"/>
      <x:c r="J483" s="7" t="n">
        <x:v>0</x:v>
      </x:c>
      <x:c r="K483" s="1" t="n">
        <x:v>61.01</x:v>
      </x:c>
      <x:c r="L483" s="1" t="n">
        <x:v>0</x:v>
      </x:c>
      <x:c r="M483" s="1" t="n">
        <x:v>236</x:v>
      </x:c>
      <x:c r="N483" s="1"/>
      <x:c r="O483" s="1"/>
      <x:c r="P483" s="1"/>
      <x:c r="Q483" s="1"/>
    </x:row>
    <x:row r="484" ht="22" customHeight="1">
      <x:c r="A484" s="1" t="str">
        <x:v>O0479</x:v>
      </x:c>
      <x:c r="B484" s="1" t="str">
        <x:v>Simulated Guwahati Management Institute 479</x:v>
      </x:c>
      <x:c r="C484" s="1" t="str">
        <x:v>Northeast</x:v>
      </x:c>
      <x:c r="D484" s="1" t="str">
        <x:v>Meeting Scheduled</x:v>
      </x:c>
      <x:c r="E484" s="1" t="str">
        <x:v>Open</x:v>
      </x:c>
      <x:c r="F484" s="7" t="n">
        <x:v>104000</x:v>
      </x:c>
      <x:c r="G484" s="8" t="d">
        <x:v>2025-12-07T00:00:00.000Z</x:v>
      </x:c>
      <x:c r="H484" s="8" t="d">
        <x:v>2026-05-06T00:00:00.000Z</x:v>
      </x:c>
      <x:c r="I484" s="8"/>
      <x:c r="J484" s="7" t="n">
        <x:v>0</x:v>
      </x:c>
      <x:c r="K484" s="1" t="n">
        <x:v>32.7</x:v>
      </x:c>
      <x:c r="L484" s="1" t="n">
        <x:v>1</x:v>
      </x:c>
      <x:c r="M484" s="1" t="n">
        <x:v>250</x:v>
      </x:c>
      <x:c r="N484" s="1"/>
      <x:c r="O484" s="1"/>
      <x:c r="P484" s="1"/>
      <x:c r="Q484" s="1"/>
    </x:row>
    <x:row r="485" ht="22" customHeight="1">
      <x:c r="A485" s="1" t="str">
        <x:v>O0480</x:v>
      </x:c>
      <x:c r="B485" s="1" t="str">
        <x:v>Simulated Indore Management Institute 480</x:v>
      </x:c>
      <x:c r="C485" s="1" t="str">
        <x:v>Central</x:v>
      </x:c>
      <x:c r="D485" s="1" t="str">
        <x:v>Closed Lost</x:v>
      </x:c>
      <x:c r="E485" s="1" t="str">
        <x:v>Lost</x:v>
      </x:c>
      <x:c r="F485" s="7" t="n">
        <x:v>126000</x:v>
      </x:c>
      <x:c r="G485" s="8" t="d">
        <x:v>2025-11-14T00:00:00.000Z</x:v>
      </x:c>
      <x:c r="H485" s="8" t="d">
        <x:v>2026-03-31T00:00:00.000Z</x:v>
      </x:c>
      <x:c r="I485" s="8" t="d">
        <x:v>2026-03-16T00:00:00.000Z</x:v>
      </x:c>
      <x:c r="J485" s="7" t="n">
        <x:v>0</x:v>
      </x:c>
      <x:c r="K485" s="1" t="n">
        <x:v>0</x:v>
      </x:c>
      <x:c r="L485" s="1" t="n">
        <x:v>0</x:v>
      </x:c>
      <x:c r="M485" s="1" t="n">
        <x:v>198</x:v>
      </x:c>
      <x:c r="N485" s="1"/>
      <x:c r="O485" s="1"/>
      <x:c r="P485" s="1"/>
      <x:c r="Q485" s="1"/>
    </x:row>
    <x:row r="486" ht="22" customHeight="1">
      <x:c r="A486" s="1" t="str">
        <x:v>O0481</x:v>
      </x:c>
      <x:c r="B486" s="1" t="str">
        <x:v>Simulated New Delhi University 481</x:v>
      </x:c>
      <x:c r="C486" s="1" t="str">
        <x:v>North</x:v>
      </x:c>
      <x:c r="D486" s="1" t="str">
        <x:v>Qualified</x:v>
      </x:c>
      <x:c r="E486" s="1" t="str">
        <x:v>Open</x:v>
      </x:c>
      <x:c r="F486" s="7" t="n">
        <x:v>317000</x:v>
      </x:c>
      <x:c r="G486" s="8" t="d">
        <x:v>2026-01-18T00:00:00.000Z</x:v>
      </x:c>
      <x:c r="H486" s="8" t="d">
        <x:v>2026-05-23T00:00:00.000Z</x:v>
      </x:c>
      <x:c r="I486" s="8"/>
      <x:c r="J486" s="7" t="n">
        <x:v>0</x:v>
      </x:c>
      <x:c r="K486" s="1" t="n">
        <x:v>54.93</x:v>
      </x:c>
      <x:c r="L486" s="1" t="n">
        <x:v>1</x:v>
      </x:c>
      <x:c r="M486" s="1" t="n">
        <x:v>224</x:v>
      </x:c>
      <x:c r="N486" s="1"/>
      <x:c r="O486" s="1"/>
      <x:c r="P486" s="1"/>
      <x:c r="Q486" s="1"/>
    </x:row>
    <x:row r="487" ht="22" customHeight="1">
      <x:c r="A487" s="1" t="str">
        <x:v>O0482</x:v>
      </x:c>
      <x:c r="B487" s="1" t="str">
        <x:v>Simulated Noida Engineering College 482</x:v>
      </x:c>
      <x:c r="C487" s="1" t="str">
        <x:v>North</x:v>
      </x:c>
      <x:c r="D487" s="1" t="str">
        <x:v>Closed Lost</x:v>
      </x:c>
      <x:c r="E487" s="1" t="str">
        <x:v>Lost</x:v>
      </x:c>
      <x:c r="F487" s="7" t="n">
        <x:v>365000</x:v>
      </x:c>
      <x:c r="G487" s="8" t="d">
        <x:v>2025-10-15T00:00:00.000Z</x:v>
      </x:c>
      <x:c r="H487" s="8" t="d">
        <x:v>2026-01-20T00:00:00.000Z</x:v>
      </x:c>
      <x:c r="I487" s="8" t="d">
        <x:v>2025-12-07T00:00:00.000Z</x:v>
      </x:c>
      <x:c r="J487" s="7" t="n">
        <x:v>0</x:v>
      </x:c>
      <x:c r="K487" s="1" t="n">
        <x:v>0</x:v>
      </x:c>
      <x:c r="L487" s="1" t="n">
        <x:v>0</x:v>
      </x:c>
      <x:c r="M487" s="1" t="n">
        <x:v>297</x:v>
      </x:c>
      <x:c r="N487" s="1"/>
      <x:c r="O487" s="1"/>
      <x:c r="P487" s="1"/>
      <x:c r="Q487" s="1"/>
    </x:row>
    <x:row r="488" ht="22" customHeight="1">
      <x:c r="A488" s="1" t="str">
        <x:v>O0483</x:v>
      </x:c>
      <x:c r="B488" s="1" t="str">
        <x:v>Simulated Gurugram Management Institute 483</x:v>
      </x:c>
      <x:c r="C488" s="1" t="str">
        <x:v>North</x:v>
      </x:c>
      <x:c r="D488" s="1" t="str">
        <x:v>Closed Lost</x:v>
      </x:c>
      <x:c r="E488" s="1" t="str">
        <x:v>Lost</x:v>
      </x:c>
      <x:c r="F488" s="7" t="n">
        <x:v>221000</x:v>
      </x:c>
      <x:c r="G488" s="8" t="d">
        <x:v>2025-12-18T00:00:00.000Z</x:v>
      </x:c>
      <x:c r="H488" s="8" t="d">
        <x:v>2026-03-27T00:00:00.000Z</x:v>
      </x:c>
      <x:c r="I488" s="8" t="d">
        <x:v>2026-02-19T00:00:00.000Z</x:v>
      </x:c>
      <x:c r="J488" s="7" t="n">
        <x:v>0</x:v>
      </x:c>
      <x:c r="K488" s="1" t="n">
        <x:v>0</x:v>
      </x:c>
      <x:c r="L488" s="1" t="n">
        <x:v>0</x:v>
      </x:c>
      <x:c r="M488" s="1" t="n">
        <x:v>223</x:v>
      </x:c>
      <x:c r="N488" s="1"/>
      <x:c r="O488" s="1"/>
      <x:c r="P488" s="1"/>
      <x:c r="Q488" s="1"/>
    </x:row>
    <x:row r="489" ht="22" customHeight="1">
      <x:c r="A489" s="1" t="str">
        <x:v>O0484</x:v>
      </x:c>
      <x:c r="B489" s="1" t="str">
        <x:v>Simulated Ludhiana University 484</x:v>
      </x:c>
      <x:c r="C489" s="1" t="str">
        <x:v>North</x:v>
      </x:c>
      <x:c r="D489" s="1" t="str">
        <x:v>Closed Won</x:v>
      </x:c>
      <x:c r="E489" s="1" t="str">
        <x:v>Won</x:v>
      </x:c>
      <x:c r="F489" s="7" t="n">
        <x:v>531000</x:v>
      </x:c>
      <x:c r="G489" s="8" t="d">
        <x:v>2026-05-12T00:00:00.000Z</x:v>
      </x:c>
      <x:c r="H489" s="8" t="d">
        <x:v>2026-08-03T00:00:00.000Z</x:v>
      </x:c>
      <x:c r="I489" s="8" t="d">
        <x:v>2026-08-18T00:00:00.000Z</x:v>
      </x:c>
      <x:c r="J489" s="7" t="n">
        <x:v>64010.96</x:v>
      </x:c>
      <x:c r="K489" s="1" t="n">
        <x:v>0</x:v>
      </x:c>
      <x:c r="L489" s="1" t="n">
        <x:v>0</x:v>
      </x:c>
      <x:c r="M489" s="1" t="n">
        <x:v>43</x:v>
      </x:c>
      <x:c r="N489" s="1"/>
      <x:c r="O489" s="1"/>
      <x:c r="P489" s="1"/>
      <x:c r="Q489" s="1"/>
    </x:row>
    <x:row r="490" ht="22" customHeight="1">
      <x:c r="A490" s="1" t="str">
        <x:v>O0485</x:v>
      </x:c>
      <x:c r="B490" s="1" t="str">
        <x:v>Simulated Pune Arts and Science College 485</x:v>
      </x:c>
      <x:c r="C490" s="1" t="str">
        <x:v>West</x:v>
      </x:c>
      <x:c r="D490" s="1" t="str">
        <x:v>Qualified</x:v>
      </x:c>
      <x:c r="E490" s="1" t="str">
        <x:v>Open</x:v>
      </x:c>
      <x:c r="F490" s="7" t="n">
        <x:v>353000</x:v>
      </x:c>
      <x:c r="G490" s="8" t="d">
        <x:v>2026-07-08T00:00:00.000Z</x:v>
      </x:c>
      <x:c r="H490" s="8" t="d">
        <x:v>2026-11-09T00:00:00.000Z</x:v>
      </x:c>
      <x:c r="I490" s="8"/>
      <x:c r="J490" s="7" t="n">
        <x:v>0</x:v>
      </x:c>
      <x:c r="K490" s="1" t="n">
        <x:v>51.55</x:v>
      </x:c>
      <x:c r="L490" s="1" t="n">
        <x:v>1</x:v>
      </x:c>
      <x:c r="M490" s="1" t="n">
        <x:v>77</x:v>
      </x:c>
      <x:c r="N490" s="1"/>
      <x:c r="O490" s="1"/>
      <x:c r="P490" s="1"/>
      <x:c r="Q490" s="1"/>
    </x:row>
    <x:row r="491" ht="22" customHeight="1">
      <x:c r="A491" s="1" t="str">
        <x:v>O0486</x:v>
      </x:c>
      <x:c r="B491" s="1" t="str">
        <x:v>Simulated Ahmedabad University 486</x:v>
      </x:c>
      <x:c r="C491" s="1" t="str">
        <x:v>West</x:v>
      </x:c>
      <x:c r="D491" s="1" t="str">
        <x:v>Qualified</x:v>
      </x:c>
      <x:c r="E491" s="1" t="str">
        <x:v>Open</x:v>
      </x:c>
      <x:c r="F491" s="7" t="n">
        <x:v>687000</x:v>
      </x:c>
      <x:c r="G491" s="8" t="d">
        <x:v>2025-10-05T00:00:00.000Z</x:v>
      </x:c>
      <x:c r="H491" s="8" t="d">
        <x:v>2026-02-28T00:00:00.000Z</x:v>
      </x:c>
      <x:c r="I491" s="8"/>
      <x:c r="J491" s="7" t="n">
        <x:v>0</x:v>
      </x:c>
      <x:c r="K491" s="1" t="n">
        <x:v>68.06</x:v>
      </x:c>
      <x:c r="L491" s="1" t="n">
        <x:v>1</x:v>
      </x:c>
      <x:c r="M491" s="1" t="n">
        <x:v>353</x:v>
      </x:c>
      <x:c r="N491" s="1"/>
      <x:c r="O491" s="1"/>
      <x:c r="P491" s="1"/>
      <x:c r="Q491" s="1"/>
    </x:row>
    <x:row r="492" ht="22" customHeight="1">
      <x:c r="A492" s="1" t="str">
        <x:v>O0487</x:v>
      </x:c>
      <x:c r="B492" s="1" t="str">
        <x:v>Simulated Jaipur Arts and Science College 487</x:v>
      </x:c>
      <x:c r="C492" s="1" t="str">
        <x:v>West</x:v>
      </x:c>
      <x:c r="D492" s="1" t="str">
        <x:v>Prospect Identified</x:v>
      </x:c>
      <x:c r="E492" s="1" t="str">
        <x:v>Open</x:v>
      </x:c>
      <x:c r="F492" s="7" t="n">
        <x:v>220000</x:v>
      </x:c>
      <x:c r="G492" s="8" t="d">
        <x:v>2025-12-03T00:00:00.000Z</x:v>
      </x:c>
      <x:c r="H492" s="8" t="d">
        <x:v>2026-05-01T00:00:00.000Z</x:v>
      </x:c>
      <x:c r="I492" s="8"/>
      <x:c r="J492" s="7" t="n">
        <x:v>0</x:v>
      </x:c>
      <x:c r="K492" s="1" t="n">
        <x:v>49.8</x:v>
      </x:c>
      <x:c r="L492" s="1" t="n">
        <x:v>0</x:v>
      </x:c>
      <x:c r="M492" s="1" t="n">
        <x:v>301</x:v>
      </x:c>
      <x:c r="N492" s="1"/>
      <x:c r="O492" s="1"/>
      <x:c r="P492" s="1"/>
      <x:c r="Q492" s="1"/>
    </x:row>
    <x:row r="493" ht="22" customHeight="1">
      <x:c r="A493" s="1" t="str">
        <x:v>O0488</x:v>
      </x:c>
      <x:c r="B493" s="1" t="str">
        <x:v>Simulated Bengaluru University 488</x:v>
      </x:c>
      <x:c r="C493" s="1" t="str">
        <x:v>South</x:v>
      </x:c>
      <x:c r="D493" s="1" t="str">
        <x:v>Closed Lost</x:v>
      </x:c>
      <x:c r="E493" s="1" t="str">
        <x:v>Lost</x:v>
      </x:c>
      <x:c r="F493" s="7" t="n">
        <x:v>274000</x:v>
      </x:c>
      <x:c r="G493" s="8" t="d">
        <x:v>2026-05-19T00:00:00.000Z</x:v>
      </x:c>
      <x:c r="H493" s="8" t="d">
        <x:v>2026-08-18T00:00:00.000Z</x:v>
      </x:c>
      <x:c r="I493" s="8" t="d">
        <x:v>2026-08-16T00:00:00.000Z</x:v>
      </x:c>
      <x:c r="J493" s="7" t="n">
        <x:v>0</x:v>
      </x:c>
      <x:c r="K493" s="1" t="n">
        <x:v>0</x:v>
      </x:c>
      <x:c r="L493" s="1" t="n">
        <x:v>0</x:v>
      </x:c>
      <x:c r="M493" s="1" t="n">
        <x:v>45</x:v>
      </x:c>
      <x:c r="N493" s="1"/>
      <x:c r="O493" s="1"/>
      <x:c r="P493" s="1"/>
      <x:c r="Q493" s="1"/>
    </x:row>
    <x:row r="494" ht="22" customHeight="1">
      <x:c r="A494" s="1" t="str">
        <x:v>O0489</x:v>
      </x:c>
      <x:c r="B494" s="1" t="str">
        <x:v>Simulated Chennai Arts and Science College 489</x:v>
      </x:c>
      <x:c r="C494" s="1" t="str">
        <x:v>South</x:v>
      </x:c>
      <x:c r="D494" s="1" t="str">
        <x:v>Closed Lost</x:v>
      </x:c>
      <x:c r="E494" s="1" t="str">
        <x:v>Lost</x:v>
      </x:c>
      <x:c r="F494" s="7" t="n">
        <x:v>115000</x:v>
      </x:c>
      <x:c r="G494" s="8" t="d">
        <x:v>2026-01-23T00:00:00.000Z</x:v>
      </x:c>
      <x:c r="H494" s="8" t="d">
        <x:v>2026-06-07T00:00:00.000Z</x:v>
      </x:c>
      <x:c r="I494" s="8" t="d">
        <x:v>2026-01-30T00:00:00.000Z</x:v>
      </x:c>
      <x:c r="J494" s="7" t="n">
        <x:v>0</x:v>
      </x:c>
      <x:c r="K494" s="1" t="n">
        <x:v>0</x:v>
      </x:c>
      <x:c r="L494" s="1" t="n">
        <x:v>0</x:v>
      </x:c>
      <x:c r="M494" s="1" t="n">
        <x:v>243</x:v>
      </x:c>
      <x:c r="N494" s="1"/>
      <x:c r="O494" s="1"/>
      <x:c r="P494" s="1"/>
      <x:c r="Q494" s="1"/>
    </x:row>
    <x:row r="495" ht="22" customHeight="1">
      <x:c r="A495" s="1" t="str">
        <x:v>O0490</x:v>
      </x:c>
      <x:c r="B495" s="1" t="str">
        <x:v>Simulated Hyderabad Management Institute 490</x:v>
      </x:c>
      <x:c r="C495" s="1" t="str">
        <x:v>South</x:v>
      </x:c>
      <x:c r="D495" s="1" t="str">
        <x:v>Closed Lost</x:v>
      </x:c>
      <x:c r="E495" s="1" t="str">
        <x:v>Lost</x:v>
      </x:c>
      <x:c r="F495" s="7" t="n">
        <x:v>236000</x:v>
      </x:c>
      <x:c r="G495" s="8" t="d">
        <x:v>2025-12-27T00:00:00.000Z</x:v>
      </x:c>
      <x:c r="H495" s="8" t="d">
        <x:v>2026-04-16T00:00:00.000Z</x:v>
      </x:c>
      <x:c r="I495" s="8" t="d">
        <x:v>2026-03-13T00:00:00.000Z</x:v>
      </x:c>
      <x:c r="J495" s="7" t="n">
        <x:v>0</x:v>
      </x:c>
      <x:c r="K495" s="1" t="n">
        <x:v>0</x:v>
      </x:c>
      <x:c r="L495" s="1" t="n">
        <x:v>0</x:v>
      </x:c>
      <x:c r="M495" s="1" t="n">
        <x:v>201</x:v>
      </x:c>
      <x:c r="N495" s="1"/>
      <x:c r="O495" s="1"/>
      <x:c r="P495" s="1"/>
      <x:c r="Q495" s="1"/>
    </x:row>
    <x:row r="496" ht="22" customHeight="1">
      <x:c r="A496" s="1" t="str">
        <x:v>O0491</x:v>
      </x:c>
      <x:c r="B496" s="1" t="str">
        <x:v>Simulated Kolkata Engineering College 491</x:v>
      </x:c>
      <x:c r="C496" s="1" t="str">
        <x:v>East</x:v>
      </x:c>
      <x:c r="D496" s="1" t="str">
        <x:v>Closed Lost</x:v>
      </x:c>
      <x:c r="E496" s="1" t="str">
        <x:v>Lost</x:v>
      </x:c>
      <x:c r="F496" s="7" t="n">
        <x:v>107000</x:v>
      </x:c>
      <x:c r="G496" s="8" t="d">
        <x:v>2026-03-02T00:00:00.000Z</x:v>
      </x:c>
      <x:c r="H496" s="8" t="d">
        <x:v>2026-05-28T00:00:00.000Z</x:v>
      </x:c>
      <x:c r="I496" s="8" t="d">
        <x:v>2026-04-26T00:00:00.000Z</x:v>
      </x:c>
      <x:c r="J496" s="7" t="n">
        <x:v>0</x:v>
      </x:c>
      <x:c r="K496" s="1" t="n">
        <x:v>0</x:v>
      </x:c>
      <x:c r="L496" s="1" t="n">
        <x:v>0</x:v>
      </x:c>
      <x:c r="M496" s="1" t="n">
        <x:v>157</x:v>
      </x:c>
      <x:c r="N496" s="1"/>
      <x:c r="O496" s="1"/>
      <x:c r="P496" s="1"/>
      <x:c r="Q496" s="1"/>
    </x:row>
    <x:row r="497" ht="22" customHeight="1">
      <x:c r="A497" s="1" t="str">
        <x:v>O0492</x:v>
      </x:c>
      <x:c r="B497" s="1" t="str">
        <x:v>Simulated Bhubaneswar Engineering College 492</x:v>
      </x:c>
      <x:c r="C497" s="1" t="str">
        <x:v>East</x:v>
      </x:c>
      <x:c r="D497" s="1" t="str">
        <x:v>Closed Lost</x:v>
      </x:c>
      <x:c r="E497" s="1" t="str">
        <x:v>Lost</x:v>
      </x:c>
      <x:c r="F497" s="7" t="n">
        <x:v>266000</x:v>
      </x:c>
      <x:c r="G497" s="8" t="d">
        <x:v>2026-04-06T00:00:00.000Z</x:v>
      </x:c>
      <x:c r="H497" s="8" t="d">
        <x:v>2026-08-28T00:00:00.000Z</x:v>
      </x:c>
      <x:c r="I497" s="8" t="d">
        <x:v>2026-07-06T00:00:00.000Z</x:v>
      </x:c>
      <x:c r="J497" s="7" t="n">
        <x:v>0</x:v>
      </x:c>
      <x:c r="K497" s="1" t="n">
        <x:v>0</x:v>
      </x:c>
      <x:c r="L497" s="1" t="n">
        <x:v>0</x:v>
      </x:c>
      <x:c r="M497" s="1" t="n">
        <x:v>86</x:v>
      </x:c>
      <x:c r="N497" s="1"/>
      <x:c r="O497" s="1"/>
      <x:c r="P497" s="1"/>
      <x:c r="Q497" s="1"/>
    </x:row>
    <x:row r="498" ht="22" customHeight="1">
      <x:c r="A498" s="1" t="str">
        <x:v>O0493</x:v>
      </x:c>
      <x:c r="B498" s="1" t="str">
        <x:v>Simulated Patna Management Institute 493</x:v>
      </x:c>
      <x:c r="C498" s="1" t="str">
        <x:v>East</x:v>
      </x:c>
      <x:c r="D498" s="1" t="str">
        <x:v>Closed Lost</x:v>
      </x:c>
      <x:c r="E498" s="1" t="str">
        <x:v>Lost</x:v>
      </x:c>
      <x:c r="F498" s="7" t="n">
        <x:v>264000</x:v>
      </x:c>
      <x:c r="G498" s="8" t="d">
        <x:v>2026-06-09T00:00:00.000Z</x:v>
      </x:c>
      <x:c r="H498" s="8" t="d">
        <x:v>2026-10-02T00:00:00.000Z</x:v>
      </x:c>
      <x:c r="I498" s="8" t="d">
        <x:v>2026-08-18T00:00:00.000Z</x:v>
      </x:c>
      <x:c r="J498" s="7" t="n">
        <x:v>0</x:v>
      </x:c>
      <x:c r="K498" s="1" t="n">
        <x:v>0</x:v>
      </x:c>
      <x:c r="L498" s="1" t="n">
        <x:v>0</x:v>
      </x:c>
      <x:c r="M498" s="1" t="n">
        <x:v>43</x:v>
      </x:c>
      <x:c r="N498" s="1"/>
      <x:c r="O498" s="1"/>
      <x:c r="P498" s="1"/>
      <x:c r="Q498" s="1"/>
    </x:row>
    <x:row r="499" ht="22" customHeight="1">
      <x:c r="A499" s="1" t="str">
        <x:v>O0494</x:v>
      </x:c>
      <x:c r="B499" s="1" t="str">
        <x:v>Simulated Guwahati Arts and Science College 494</x:v>
      </x:c>
      <x:c r="C499" s="1" t="str">
        <x:v>Northeast</x:v>
      </x:c>
      <x:c r="D499" s="1" t="str">
        <x:v>Closed Won</x:v>
      </x:c>
      <x:c r="E499" s="1" t="str">
        <x:v>Won</x:v>
      </x:c>
      <x:c r="F499" s="7" t="n">
        <x:v>205000</x:v>
      </x:c>
      <x:c r="G499" s="8" t="d">
        <x:v>2026-03-26T00:00:00.000Z</x:v>
      </x:c>
      <x:c r="H499" s="8" t="d">
        <x:v>2026-07-23T00:00:00.000Z</x:v>
      </x:c>
      <x:c r="I499" s="8" t="d">
        <x:v>2026-06-29T00:00:00.000Z</x:v>
      </x:c>
      <x:c r="J499" s="7" t="n">
        <x:v>52794.52</x:v>
      </x:c>
      <x:c r="K499" s="1" t="n">
        <x:v>0</x:v>
      </x:c>
      <x:c r="L499" s="1" t="n">
        <x:v>0</x:v>
      </x:c>
      <x:c r="M499" s="1" t="n">
        <x:v>93</x:v>
      </x:c>
      <x:c r="N499" s="1"/>
      <x:c r="O499" s="1"/>
      <x:c r="P499" s="1"/>
      <x:c r="Q499" s="1"/>
    </x:row>
    <x:row r="500" ht="22" customHeight="1">
      <x:c r="A500" s="1" t="str">
        <x:v>O0495</x:v>
      </x:c>
      <x:c r="B500" s="1" t="str">
        <x:v>Simulated Indore Management Institute 495</x:v>
      </x:c>
      <x:c r="C500" s="1" t="str">
        <x:v>Central</x:v>
      </x:c>
      <x:c r="D500" s="1" t="str">
        <x:v>Closed Lost</x:v>
      </x:c>
      <x:c r="E500" s="1" t="str">
        <x:v>Lost</x:v>
      </x:c>
      <x:c r="F500" s="7" t="n">
        <x:v>113000</x:v>
      </x:c>
      <x:c r="G500" s="8" t="d">
        <x:v>2026-01-16T00:00:00.000Z</x:v>
      </x:c>
      <x:c r="H500" s="8" t="d">
        <x:v>2026-05-23T00:00:00.000Z</x:v>
      </x:c>
      <x:c r="I500" s="8" t="d">
        <x:v>2026-02-17T00:00:00.000Z</x:v>
      </x:c>
      <x:c r="J500" s="7" t="n">
        <x:v>0</x:v>
      </x:c>
      <x:c r="K500" s="1" t="n">
        <x:v>0</x:v>
      </x:c>
      <x:c r="L500" s="1" t="n">
        <x:v>0</x:v>
      </x:c>
      <x:c r="M500" s="1" t="n">
        <x:v>225</x:v>
      </x:c>
      <x:c r="N500" s="1"/>
      <x:c r="O500" s="1"/>
      <x:c r="P500" s="1"/>
      <x:c r="Q500" s="1"/>
    </x:row>
    <x:row r="501" ht="22" customHeight="1">
      <x:c r="A501" s="1" t="str">
        <x:v>O0496</x:v>
      </x:c>
      <x:c r="B501" s="1" t="str">
        <x:v>Simulated New Delhi Arts and Science College 496</x:v>
      </x:c>
      <x:c r="C501" s="1" t="str">
        <x:v>North</x:v>
      </x:c>
      <x:c r="D501" s="1" t="str">
        <x:v>Closed Lost</x:v>
      </x:c>
      <x:c r="E501" s="1" t="str">
        <x:v>Lost</x:v>
      </x:c>
      <x:c r="F501" s="7" t="n">
        <x:v>333000</x:v>
      </x:c>
      <x:c r="G501" s="8" t="d">
        <x:v>2026-07-27T00:00:00.000Z</x:v>
      </x:c>
      <x:c r="H501" s="8" t="d">
        <x:v>2026-11-26T00:00:00.000Z</x:v>
      </x:c>
      <x:c r="I501" s="8" t="d">
        <x:v>2026-09-24T00:00:00.000Z</x:v>
      </x:c>
      <x:c r="J501" s="7" t="n">
        <x:v>0</x:v>
      </x:c>
      <x:c r="K501" s="1" t="n">
        <x:v>0</x:v>
      </x:c>
      <x:c r="L501" s="1" t="n">
        <x:v>0</x:v>
      </x:c>
      <x:c r="M501" s="1" t="n">
        <x:v>6</x:v>
      </x:c>
      <x:c r="N501" s="1"/>
      <x:c r="O501" s="1"/>
      <x:c r="P501" s="1"/>
      <x:c r="Q501" s="1"/>
    </x:row>
    <x:row r="502" ht="22" customHeight="1">
      <x:c r="A502" s="1" t="str">
        <x:v>O0497</x:v>
      </x:c>
      <x:c r="B502" s="1" t="str">
        <x:v>Simulated Noida Arts and Science College 497</x:v>
      </x:c>
      <x:c r="C502" s="1" t="str">
        <x:v>North</x:v>
      </x:c>
      <x:c r="D502" s="1" t="str">
        <x:v>Closed Lost</x:v>
      </x:c>
      <x:c r="E502" s="1" t="str">
        <x:v>Lost</x:v>
      </x:c>
      <x:c r="F502" s="7" t="n">
        <x:v>259000</x:v>
      </x:c>
      <x:c r="G502" s="8" t="d">
        <x:v>2026-01-10T00:00:00.000Z</x:v>
      </x:c>
      <x:c r="H502" s="8" t="d">
        <x:v>2026-05-26T00:00:00.000Z</x:v>
      </x:c>
      <x:c r="I502" s="8" t="d">
        <x:v>2026-01-31T00:00:00.000Z</x:v>
      </x:c>
      <x:c r="J502" s="7" t="n">
        <x:v>0</x:v>
      </x:c>
      <x:c r="K502" s="1" t="n">
        <x:v>0</x:v>
      </x:c>
      <x:c r="L502" s="1" t="n">
        <x:v>0</x:v>
      </x:c>
      <x:c r="M502" s="1" t="n">
        <x:v>242</x:v>
      </x:c>
      <x:c r="N502" s="1"/>
      <x:c r="O502" s="1"/>
      <x:c r="P502" s="1"/>
      <x:c r="Q502" s="1"/>
    </x:row>
    <x:row r="503" ht="22" customHeight="1">
      <x:c r="A503" s="1" t="str">
        <x:v>O0498</x:v>
      </x:c>
      <x:c r="B503" s="1" t="str">
        <x:v>Simulated Gurugram Management Institute 498</x:v>
      </x:c>
      <x:c r="C503" s="1" t="str">
        <x:v>North</x:v>
      </x:c>
      <x:c r="D503" s="1" t="str">
        <x:v>Closed Won</x:v>
      </x:c>
      <x:c r="E503" s="1" t="str">
        <x:v>Won</x:v>
      </x:c>
      <x:c r="F503" s="7" t="n">
        <x:v>192000</x:v>
      </x:c>
      <x:c r="G503" s="8" t="d">
        <x:v>2025-11-07T00:00:00.000Z</x:v>
      </x:c>
      <x:c r="H503" s="8" t="d">
        <x:v>2026-02-04T00:00:00.000Z</x:v>
      </x:c>
      <x:c r="I503" s="8" t="d">
        <x:v>2026-04-02T00:00:00.000Z</x:v>
      </x:c>
      <x:c r="J503" s="7" t="n">
        <x:v>95736.99</x:v>
      </x:c>
      <x:c r="K503" s="1" t="n">
        <x:v>0</x:v>
      </x:c>
      <x:c r="L503" s="1" t="n">
        <x:v>0</x:v>
      </x:c>
      <x:c r="M503" s="1" t="n">
        <x:v>181</x:v>
      </x:c>
      <x:c r="N503" s="1"/>
      <x:c r="O503" s="1"/>
      <x:c r="P503" s="1"/>
      <x:c r="Q503" s="1"/>
    </x:row>
    <x:row r="504" ht="22" customHeight="1">
      <x:c r="A504" s="1" t="str">
        <x:v>O0499</x:v>
      </x:c>
      <x:c r="B504" s="1" t="str">
        <x:v>Simulated Ludhiana University 499</x:v>
      </x:c>
      <x:c r="C504" s="1" t="str">
        <x:v>North</x:v>
      </x:c>
      <x:c r="D504" s="1" t="str">
        <x:v>Closed Won</x:v>
      </x:c>
      <x:c r="E504" s="1" t="str">
        <x:v>Won</x:v>
      </x:c>
      <x:c r="F504" s="7" t="n">
        <x:v>414000</x:v>
      </x:c>
      <x:c r="G504" s="8" t="d">
        <x:v>2025-10-26T00:00:00.000Z</x:v>
      </x:c>
      <x:c r="H504" s="8" t="d">
        <x:v>2026-03-14T00:00:00.000Z</x:v>
      </x:c>
      <x:c r="I504" s="8" t="d">
        <x:v>2026-03-10T00:00:00.000Z</x:v>
      </x:c>
      <x:c r="J504" s="7" t="n">
        <x:v>232520.55</x:v>
      </x:c>
      <x:c r="K504" s="1" t="n">
        <x:v>0</x:v>
      </x:c>
      <x:c r="L504" s="1" t="n">
        <x:v>0</x:v>
      </x:c>
      <x:c r="M504" s="1" t="n">
        <x:v>204</x:v>
      </x:c>
      <x:c r="N504" s="1"/>
      <x:c r="O504" s="1"/>
      <x:c r="P504" s="1"/>
      <x:c r="Q504" s="1"/>
    </x:row>
    <x:row r="505" ht="22" customHeight="1">
      <x:c r="A505" s="1" t="str">
        <x:v>O0500</x:v>
      </x:c>
      <x:c r="B505" s="1" t="str">
        <x:v>Simulated Pune Engineering College 500</x:v>
      </x:c>
      <x:c r="C505" s="1" t="str">
        <x:v>West</x:v>
      </x:c>
      <x:c r="D505" s="1" t="str">
        <x:v>Qualified</x:v>
      </x:c>
      <x:c r="E505" s="1" t="str">
        <x:v>Open</x:v>
      </x:c>
      <x:c r="F505" s="7" t="n">
        <x:v>102000</x:v>
      </x:c>
      <x:c r="G505" s="8" t="d">
        <x:v>2026-07-12T00:00:00.000Z</x:v>
      </x:c>
      <x:c r="H505" s="8" t="d">
        <x:v>2026-10-06T00:00:00.000Z</x:v>
      </x:c>
      <x:c r="I505" s="8"/>
      <x:c r="J505" s="7" t="n">
        <x:v>0</x:v>
      </x:c>
      <x:c r="K505" s="1" t="n">
        <x:v>44.14</x:v>
      </x:c>
      <x:c r="L505" s="1" t="n">
        <x:v>0</x:v>
      </x:c>
      <x:c r="M505" s="1" t="n">
        <x:v>54</x:v>
      </x:c>
      <x:c r="N505" s="1"/>
      <x:c r="O505" s="1"/>
      <x:c r="P505" s="1"/>
      <x:c r="Q505" s="1"/>
    </x:row>
    <x:row r="506" ht="22" customHeight="1">
      <x:c r="A506" s="1" t="str">
        <x:v>O0501</x:v>
      </x:c>
      <x:c r="B506" s="1" t="str">
        <x:v>Simulated Ahmedabad Engineering College 501</x:v>
      </x:c>
      <x:c r="C506" s="1" t="str">
        <x:v>West</x:v>
      </x:c>
      <x:c r="D506" s="1" t="str">
        <x:v>Prospect Identified</x:v>
      </x:c>
      <x:c r="E506" s="1" t="str">
        <x:v>Open</x:v>
      </x:c>
      <x:c r="F506" s="7" t="n">
        <x:v>156000</x:v>
      </x:c>
      <x:c r="G506" s="8" t="d">
        <x:v>2026-07-23T00:00:00.000Z</x:v>
      </x:c>
      <x:c r="H506" s="8" t="d">
        <x:v>2026-12-11T00:00:00.000Z</x:v>
      </x:c>
      <x:c r="I506" s="8"/>
      <x:c r="J506" s="7" t="n">
        <x:v>0</x:v>
      </x:c>
      <x:c r="K506" s="1" t="n">
        <x:v>46.72</x:v>
      </x:c>
      <x:c r="L506" s="1" t="n">
        <x:v>0</x:v>
      </x:c>
      <x:c r="M506" s="1" t="n">
        <x:v>69</x:v>
      </x:c>
      <x:c r="N506" s="1"/>
      <x:c r="O506" s="1"/>
      <x:c r="P506" s="1"/>
      <x:c r="Q506" s="1"/>
    </x:row>
    <x:row r="507" ht="22" customHeight="1">
      <x:c r="A507" s="1" t="str">
        <x:v>O0502</x:v>
      </x:c>
      <x:c r="B507" s="1" t="str">
        <x:v>Simulated Jaipur Management Institute 502</x:v>
      </x:c>
      <x:c r="C507" s="1" t="str">
        <x:v>West</x:v>
      </x:c>
      <x:c r="D507" s="1" t="str">
        <x:v>Prospect Identified</x:v>
      </x:c>
      <x:c r="E507" s="1" t="str">
        <x:v>Open</x:v>
      </x:c>
      <x:c r="F507" s="7" t="n">
        <x:v>98000</x:v>
      </x:c>
      <x:c r="G507" s="8" t="d">
        <x:v>2026-01-23T00:00:00.000Z</x:v>
      </x:c>
      <x:c r="H507" s="8" t="d">
        <x:v>2026-04-17T00:00:00.000Z</x:v>
      </x:c>
      <x:c r="I507" s="8"/>
      <x:c r="J507" s="7" t="n">
        <x:v>0</x:v>
      </x:c>
      <x:c r="K507" s="1" t="n">
        <x:v>38.83</x:v>
      </x:c>
      <x:c r="L507" s="1" t="n">
        <x:v>1</x:v>
      </x:c>
      <x:c r="M507" s="1" t="n">
        <x:v>250</x:v>
      </x:c>
      <x:c r="N507" s="1"/>
      <x:c r="O507" s="1"/>
      <x:c r="P507" s="1"/>
      <x:c r="Q507" s="1"/>
    </x:row>
    <x:row r="508" ht="22" customHeight="1">
      <x:c r="A508" s="1" t="str">
        <x:v>O0503</x:v>
      </x:c>
      <x:c r="B508" s="1" t="str">
        <x:v>Simulated Bengaluru University 503</x:v>
      </x:c>
      <x:c r="C508" s="1" t="str">
        <x:v>South</x:v>
      </x:c>
      <x:c r="D508" s="1" t="str">
        <x:v>Qualified</x:v>
      </x:c>
      <x:c r="E508" s="1" t="str">
        <x:v>Open</x:v>
      </x:c>
      <x:c r="F508" s="7" t="n">
        <x:v>157000</x:v>
      </x:c>
      <x:c r="G508" s="8" t="d">
        <x:v>2026-07-26T00:00:00.000Z</x:v>
      </x:c>
      <x:c r="H508" s="8" t="d">
        <x:v>2026-12-01T00:00:00.000Z</x:v>
      </x:c>
      <x:c r="I508" s="8"/>
      <x:c r="J508" s="7" t="n">
        <x:v>0</x:v>
      </x:c>
      <x:c r="K508" s="1" t="n">
        <x:v>38.85</x:v>
      </x:c>
      <x:c r="L508" s="1" t="n">
        <x:v>0</x:v>
      </x:c>
      <x:c r="M508" s="1" t="n">
        <x:v>45</x:v>
      </x:c>
      <x:c r="N508" s="1"/>
      <x:c r="O508" s="1"/>
      <x:c r="P508" s="1"/>
      <x:c r="Q508" s="1"/>
    </x:row>
    <x:row r="509" ht="22" customHeight="1">
      <x:c r="A509" s="1" t="str">
        <x:v>O0504</x:v>
      </x:c>
      <x:c r="B509" s="1" t="str">
        <x:v>Simulated Chennai Arts and Science College 504</x:v>
      </x:c>
      <x:c r="C509" s="1" t="str">
        <x:v>South</x:v>
      </x:c>
      <x:c r="D509" s="1" t="str">
        <x:v>Closed Lost</x:v>
      </x:c>
      <x:c r="E509" s="1" t="str">
        <x:v>Lost</x:v>
      </x:c>
      <x:c r="F509" s="7" t="n">
        <x:v>278000</x:v>
      </x:c>
      <x:c r="G509" s="8" t="d">
        <x:v>2025-10-28T00:00:00.000Z</x:v>
      </x:c>
      <x:c r="H509" s="8" t="d">
        <x:v>2026-03-08T00:00:00.000Z</x:v>
      </x:c>
      <x:c r="I509" s="8" t="d">
        <x:v>2026-01-04T00:00:00.000Z</x:v>
      </x:c>
      <x:c r="J509" s="7" t="n">
        <x:v>0</x:v>
      </x:c>
      <x:c r="K509" s="1" t="n">
        <x:v>0</x:v>
      </x:c>
      <x:c r="L509" s="1" t="n">
        <x:v>0</x:v>
      </x:c>
      <x:c r="M509" s="1" t="n">
        <x:v>269</x:v>
      </x:c>
      <x:c r="N509" s="1"/>
      <x:c r="O509" s="1"/>
      <x:c r="P509" s="1"/>
      <x:c r="Q509" s="1"/>
    </x:row>
    <x:row r="510" ht="22" customHeight="1">
      <x:c r="A510" s="1" t="str">
        <x:v>O0505</x:v>
      </x:c>
      <x:c r="B510" s="1" t="str">
        <x:v>Simulated Hyderabad University 505</x:v>
      </x:c>
      <x:c r="C510" s="1" t="str">
        <x:v>South</x:v>
      </x:c>
      <x:c r="D510" s="1" t="str">
        <x:v>Qualified</x:v>
      </x:c>
      <x:c r="E510" s="1" t="str">
        <x:v>Open</x:v>
      </x:c>
      <x:c r="F510" s="7" t="n">
        <x:v>641000</x:v>
      </x:c>
      <x:c r="G510" s="8" t="d">
        <x:v>2026-08-24T00:00:00.000Z</x:v>
      </x:c>
      <x:c r="H510" s="8" t="d">
        <x:v>2026-12-26T00:00:00.000Z</x:v>
      </x:c>
      <x:c r="I510" s="8"/>
      <x:c r="J510" s="7" t="n">
        <x:v>0</x:v>
      </x:c>
      <x:c r="K510" s="1" t="n">
        <x:v>70.51</x:v>
      </x:c>
      <x:c r="L510" s="1" t="n">
        <x:v>0</x:v>
      </x:c>
      <x:c r="M510" s="1" t="n">
        <x:v>11</x:v>
      </x:c>
      <x:c r="N510" s="1"/>
      <x:c r="O510" s="1"/>
      <x:c r="P510" s="1"/>
      <x:c r="Q510" s="1"/>
    </x:row>
    <x:row r="511" ht="22" customHeight="1">
      <x:c r="A511" s="1" t="str">
        <x:v>O0506</x:v>
      </x:c>
      <x:c r="B511" s="1" t="str">
        <x:v>Simulated Kolkata Engineering College 506</x:v>
      </x:c>
      <x:c r="C511" s="1" t="str">
        <x:v>East</x:v>
      </x:c>
      <x:c r="D511" s="1" t="str">
        <x:v>Prospect Identified</x:v>
      </x:c>
      <x:c r="E511" s="1" t="str">
        <x:v>Open</x:v>
      </x:c>
      <x:c r="F511" s="7" t="n">
        <x:v>169000</x:v>
      </x:c>
      <x:c r="G511" s="8" t="d">
        <x:v>2025-12-09T00:00:00.000Z</x:v>
      </x:c>
      <x:c r="H511" s="8" t="d">
        <x:v>2026-04-08T00:00:00.000Z</x:v>
      </x:c>
      <x:c r="I511" s="8"/>
      <x:c r="J511" s="7" t="n">
        <x:v>0</x:v>
      </x:c>
      <x:c r="K511" s="1" t="n">
        <x:v>30.37</x:v>
      </x:c>
      <x:c r="L511" s="1" t="n">
        <x:v>1</x:v>
      </x:c>
      <x:c r="M511" s="1" t="n">
        <x:v>295</x:v>
      </x:c>
      <x:c r="N511" s="1"/>
      <x:c r="O511" s="1"/>
      <x:c r="P511" s="1"/>
      <x:c r="Q511" s="1"/>
    </x:row>
    <x:row r="512" ht="22" customHeight="1">
      <x:c r="A512" s="1" t="str">
        <x:v>O0507</x:v>
      </x:c>
      <x:c r="B512" s="1" t="str">
        <x:v>Simulated Bhubaneswar University 507</x:v>
      </x:c>
      <x:c r="C512" s="1" t="str">
        <x:v>East</x:v>
      </x:c>
      <x:c r="D512" s="1" t="str">
        <x:v>Closed Lost</x:v>
      </x:c>
      <x:c r="E512" s="1" t="str">
        <x:v>Lost</x:v>
      </x:c>
      <x:c r="F512" s="7" t="n">
        <x:v>602000</x:v>
      </x:c>
      <x:c r="G512" s="8" t="d">
        <x:v>2026-01-20T00:00:00.000Z</x:v>
      </x:c>
      <x:c r="H512" s="8" t="d">
        <x:v>2026-06-14T00:00:00.000Z</x:v>
      </x:c>
      <x:c r="I512" s="8" t="d">
        <x:v>2026-02-13T00:00:00.000Z</x:v>
      </x:c>
      <x:c r="J512" s="7" t="n">
        <x:v>0</x:v>
      </x:c>
      <x:c r="K512" s="1" t="n">
        <x:v>0</x:v>
      </x:c>
      <x:c r="L512" s="1" t="n">
        <x:v>0</x:v>
      </x:c>
      <x:c r="M512" s="1" t="n">
        <x:v>229</x:v>
      </x:c>
      <x:c r="N512" s="1"/>
      <x:c r="O512" s="1"/>
      <x:c r="P512" s="1"/>
      <x:c r="Q512" s="1"/>
    </x:row>
    <x:row r="513" ht="22" customHeight="1">
      <x:c r="A513" s="1" t="str">
        <x:v>O0508</x:v>
      </x:c>
      <x:c r="B513" s="1" t="str">
        <x:v>Simulated Patna Arts and Science College 508</x:v>
      </x:c>
      <x:c r="C513" s="1" t="str">
        <x:v>East</x:v>
      </x:c>
      <x:c r="D513" s="1" t="str">
        <x:v>Meeting Scheduled</x:v>
      </x:c>
      <x:c r="E513" s="1" t="str">
        <x:v>Open</x:v>
      </x:c>
      <x:c r="F513" s="7" t="n">
        <x:v>103000</x:v>
      </x:c>
      <x:c r="G513" s="8" t="d">
        <x:v>2026-06-08T00:00:00.000Z</x:v>
      </x:c>
      <x:c r="H513" s="8" t="d">
        <x:v>2026-10-08T00:00:00.000Z</x:v>
      </x:c>
      <x:c r="I513" s="8"/>
      <x:c r="J513" s="7" t="n">
        <x:v>0</x:v>
      </x:c>
      <x:c r="K513" s="1" t="n">
        <x:v>38.41</x:v>
      </x:c>
      <x:c r="L513" s="1" t="n">
        <x:v>0</x:v>
      </x:c>
      <x:c r="M513" s="1" t="n">
        <x:v>78</x:v>
      </x:c>
      <x:c r="N513" s="1"/>
      <x:c r="O513" s="1"/>
      <x:c r="P513" s="1"/>
      <x:c r="Q513" s="1"/>
    </x:row>
    <x:row r="514" ht="22" customHeight="1">
      <x:c r="A514" s="1" t="str">
        <x:v>O0509</x:v>
      </x:c>
      <x:c r="B514" s="1" t="str">
        <x:v>Simulated Guwahati University 509</x:v>
      </x:c>
      <x:c r="C514" s="1" t="str">
        <x:v>Northeast</x:v>
      </x:c>
      <x:c r="D514" s="1" t="str">
        <x:v>Initial Contact</x:v>
      </x:c>
      <x:c r="E514" s="1" t="str">
        <x:v>Open</x:v>
      </x:c>
      <x:c r="F514" s="7" t="n">
        <x:v>178000</x:v>
      </x:c>
      <x:c r="G514" s="8" t="d">
        <x:v>2026-03-22T00:00:00.000Z</x:v>
      </x:c>
      <x:c r="H514" s="8" t="d">
        <x:v>2026-08-19T00:00:00.000Z</x:v>
      </x:c>
      <x:c r="I514" s="8"/>
      <x:c r="J514" s="7" t="n">
        <x:v>0</x:v>
      </x:c>
      <x:c r="K514" s="1" t="n">
        <x:v>47.29</x:v>
      </x:c>
      <x:c r="L514" s="1" t="n">
        <x:v>1</x:v>
      </x:c>
      <x:c r="M514" s="1" t="n">
        <x:v>155</x:v>
      </x:c>
      <x:c r="N514" s="1"/>
      <x:c r="O514" s="1"/>
      <x:c r="P514" s="1"/>
      <x:c r="Q514" s="1"/>
    </x:row>
    <x:row r="515" ht="22" customHeight="1">
      <x:c r="A515" s="1" t="str">
        <x:v>O0510</x:v>
      </x:c>
      <x:c r="B515" s="1" t="str">
        <x:v>Simulated Indore University 510</x:v>
      </x:c>
      <x:c r="C515" s="1" t="str">
        <x:v>Central</x:v>
      </x:c>
      <x:c r="D515" s="1" t="str">
        <x:v>Closed Won</x:v>
      </x:c>
      <x:c r="E515" s="1" t="str">
        <x:v>Won</x:v>
      </x:c>
      <x:c r="F515" s="7" t="n">
        <x:v>225000</x:v>
      </x:c>
      <x:c r="G515" s="8" t="d">
        <x:v>2025-11-28T00:00:00.000Z</x:v>
      </x:c>
      <x:c r="H515" s="8" t="d">
        <x:v>2026-03-03T00:00:00.000Z</x:v>
      </x:c>
      <x:c r="I515" s="8" t="d">
        <x:v>2026-04-06T00:00:00.000Z</x:v>
      </x:c>
      <x:c r="J515" s="7" t="n">
        <x:v>109726.03</x:v>
      </x:c>
      <x:c r="K515" s="1" t="n">
        <x:v>0</x:v>
      </x:c>
      <x:c r="L515" s="1" t="n">
        <x:v>0</x:v>
      </x:c>
      <x:c r="M515" s="1" t="n">
        <x:v>177</x:v>
      </x:c>
      <x:c r="N515" s="1"/>
      <x:c r="O515" s="1"/>
      <x:c r="P515" s="1"/>
      <x:c r="Q515" s="1"/>
    </x:row>
    <x:row r="516" ht="22" customHeight="1">
      <x:c r="A516" s="1" t="str">
        <x:v>O0511</x:v>
      </x:c>
      <x:c r="B516" s="1" t="str">
        <x:v>Simulated New Delhi Engineering College 511</x:v>
      </x:c>
      <x:c r="C516" s="1" t="str">
        <x:v>North</x:v>
      </x:c>
      <x:c r="D516" s="1" t="str">
        <x:v>Prospect Identified</x:v>
      </x:c>
      <x:c r="E516" s="1" t="str">
        <x:v>Open</x:v>
      </x:c>
      <x:c r="F516" s="7" t="n">
        <x:v>189000</x:v>
      </x:c>
      <x:c r="G516" s="8" t="d">
        <x:v>2026-09-27T00:00:00.000Z</x:v>
      </x:c>
      <x:c r="H516" s="8" t="d">
        <x:v>2027-01-13T00:00:00.000Z</x:v>
      </x:c>
      <x:c r="I516" s="8"/>
      <x:c r="J516" s="7" t="n">
        <x:v>0</x:v>
      </x:c>
      <x:c r="K516" s="1" t="n">
        <x:v>50.38</x:v>
      </x:c>
      <x:c r="L516" s="1" t="n">
        <x:v>0</x:v>
      </x:c>
      <x:c r="M516" s="1" t="n">
        <x:v>3</x:v>
      </x:c>
      <x:c r="N516" s="1"/>
      <x:c r="O516" s="1"/>
      <x:c r="P516" s="1"/>
      <x:c r="Q516" s="1"/>
    </x:row>
    <x:row r="517" ht="22" customHeight="1">
      <x:c r="A517" s="1" t="str">
        <x:v>O0512</x:v>
      </x:c>
      <x:c r="B517" s="1" t="str">
        <x:v>Simulated Noida Arts and Science College 512</x:v>
      </x:c>
      <x:c r="C517" s="1" t="str">
        <x:v>North</x:v>
      </x:c>
      <x:c r="D517" s="1" t="str">
        <x:v>Meeting Scheduled</x:v>
      </x:c>
      <x:c r="E517" s="1" t="str">
        <x:v>Open</x:v>
      </x:c>
      <x:c r="F517" s="7" t="n">
        <x:v>251000</x:v>
      </x:c>
      <x:c r="G517" s="8" t="d">
        <x:v>2026-01-31T00:00:00.000Z</x:v>
      </x:c>
      <x:c r="H517" s="8" t="d">
        <x:v>2026-06-01T00:00:00.000Z</x:v>
      </x:c>
      <x:c r="I517" s="8"/>
      <x:c r="J517" s="7" t="n">
        <x:v>0</x:v>
      </x:c>
      <x:c r="K517" s="1" t="n">
        <x:v>39.12</x:v>
      </x:c>
      <x:c r="L517" s="1" t="n">
        <x:v>1</x:v>
      </x:c>
      <x:c r="M517" s="1" t="n">
        <x:v>167</x:v>
      </x:c>
      <x:c r="N517" s="1"/>
      <x:c r="O517" s="1"/>
      <x:c r="P517" s="1"/>
      <x:c r="Q517" s="1"/>
    </x:row>
    <x:row r="518" ht="22" customHeight="1">
      <x:c r="A518" s="1" t="str">
        <x:v>O0513</x:v>
      </x:c>
      <x:c r="B518" s="1" t="str">
        <x:v>Simulated Gurugram Engineering College 513</x:v>
      </x:c>
      <x:c r="C518" s="1" t="str">
        <x:v>North</x:v>
      </x:c>
      <x:c r="D518" s="1" t="str">
        <x:v>Initial Contact</x:v>
      </x:c>
      <x:c r="E518" s="1" t="str">
        <x:v>Open</x:v>
      </x:c>
      <x:c r="F518" s="7" t="n">
        <x:v>213000</x:v>
      </x:c>
      <x:c r="G518" s="8" t="d">
        <x:v>2026-04-04T00:00:00.000Z</x:v>
      </x:c>
      <x:c r="H518" s="8" t="d">
        <x:v>2026-08-31T00:00:00.000Z</x:v>
      </x:c>
      <x:c r="I518" s="8"/>
      <x:c r="J518" s="7" t="n">
        <x:v>0</x:v>
      </x:c>
      <x:c r="K518" s="1" t="n">
        <x:v>54.24</x:v>
      </x:c>
      <x:c r="L518" s="1" t="n">
        <x:v>0</x:v>
      </x:c>
      <x:c r="M518" s="1" t="n">
        <x:v>148</x:v>
      </x:c>
      <x:c r="N518" s="1"/>
      <x:c r="O518" s="1"/>
      <x:c r="P518" s="1"/>
      <x:c r="Q518" s="1"/>
    </x:row>
    <x:row r="519" ht="22" customHeight="1">
      <x:c r="A519" s="1" t="str">
        <x:v>O0514</x:v>
      </x:c>
      <x:c r="B519" s="1" t="str">
        <x:v>Simulated Ludhiana Engineering College 514</x:v>
      </x:c>
      <x:c r="C519" s="1" t="str">
        <x:v>North</x:v>
      </x:c>
      <x:c r="D519" s="1" t="str">
        <x:v>Closed Lost</x:v>
      </x:c>
      <x:c r="E519" s="1" t="str">
        <x:v>Lost</x:v>
      </x:c>
      <x:c r="F519" s="7" t="n">
        <x:v>272000</x:v>
      </x:c>
      <x:c r="G519" s="8" t="d">
        <x:v>2026-04-26T00:00:00.000Z</x:v>
      </x:c>
      <x:c r="H519" s="8" t="d">
        <x:v>2026-08-31T00:00:00.000Z</x:v>
      </x:c>
      <x:c r="I519" s="8" t="d">
        <x:v>2026-06-13T00:00:00.000Z</x:v>
      </x:c>
      <x:c r="J519" s="7" t="n">
        <x:v>0</x:v>
      </x:c>
      <x:c r="K519" s="1" t="n">
        <x:v>0</x:v>
      </x:c>
      <x:c r="L519" s="1" t="n">
        <x:v>0</x:v>
      </x:c>
      <x:c r="M519" s="1" t="n">
        <x:v>109</x:v>
      </x:c>
      <x:c r="N519" s="1"/>
      <x:c r="O519" s="1"/>
      <x:c r="P519" s="1"/>
      <x:c r="Q519" s="1"/>
    </x:row>
    <x:row r="520" ht="22" customHeight="1">
      <x:c r="A520" s="1" t="str">
        <x:v>O0515</x:v>
      </x:c>
      <x:c r="B520" s="1" t="str">
        <x:v>Simulated Pune Arts and Science College 515</x:v>
      </x:c>
      <x:c r="C520" s="1" t="str">
        <x:v>West</x:v>
      </x:c>
      <x:c r="D520" s="1" t="str">
        <x:v>Prospect Identified</x:v>
      </x:c>
      <x:c r="E520" s="1" t="str">
        <x:v>Open</x:v>
      </x:c>
      <x:c r="F520" s="7" t="n">
        <x:v>190000</x:v>
      </x:c>
      <x:c r="G520" s="8" t="d">
        <x:v>2026-09-18T00:00:00.000Z</x:v>
      </x:c>
      <x:c r="H520" s="8" t="d">
        <x:v>2027-01-19T00:00:00.000Z</x:v>
      </x:c>
      <x:c r="I520" s="8"/>
      <x:c r="J520" s="7" t="n">
        <x:v>0</x:v>
      </x:c>
      <x:c r="K520" s="1" t="n">
        <x:v>51.44</x:v>
      </x:c>
      <x:c r="L520" s="1" t="n">
        <x:v>0</x:v>
      </x:c>
      <x:c r="M520" s="1" t="n">
        <x:v>12</x:v>
      </x:c>
      <x:c r="N520" s="1"/>
      <x:c r="O520" s="1"/>
      <x:c r="P520" s="1"/>
      <x:c r="Q520" s="1"/>
    </x:row>
    <x:row r="521" ht="22" customHeight="1">
      <x:c r="A521" s="1" t="str">
        <x:v>O0516</x:v>
      </x:c>
      <x:c r="B521" s="1" t="str">
        <x:v>Simulated Ahmedabad Management Institute 516</x:v>
      </x:c>
      <x:c r="C521" s="1" t="str">
        <x:v>West</x:v>
      </x:c>
      <x:c r="D521" s="1" t="str">
        <x:v>Meeting Scheduled</x:v>
      </x:c>
      <x:c r="E521" s="1" t="str">
        <x:v>Open</x:v>
      </x:c>
      <x:c r="F521" s="7" t="n">
        <x:v>280000</x:v>
      </x:c>
      <x:c r="G521" s="8" t="d">
        <x:v>2026-08-25T00:00:00.000Z</x:v>
      </x:c>
      <x:c r="H521" s="8" t="d">
        <x:v>2026-12-02T00:00:00.000Z</x:v>
      </x:c>
      <x:c r="I521" s="8"/>
      <x:c r="J521" s="7" t="n">
        <x:v>0</x:v>
      </x:c>
      <x:c r="K521" s="1" t="n">
        <x:v>44.77</x:v>
      </x:c>
      <x:c r="L521" s="1" t="n">
        <x:v>0</x:v>
      </x:c>
      <x:c r="M521" s="1" t="n">
        <x:v>5</x:v>
      </x:c>
      <x:c r="N521" s="1"/>
      <x:c r="O521" s="1"/>
      <x:c r="P521" s="1"/>
      <x:c r="Q521" s="1"/>
    </x:row>
    <x:row r="522" ht="22" customHeight="1">
      <x:c r="A522" s="1" t="str">
        <x:v>O0517</x:v>
      </x:c>
      <x:c r="B522" s="1" t="str">
        <x:v>Simulated Jaipur University 517</x:v>
      </x:c>
      <x:c r="C522" s="1" t="str">
        <x:v>West</x:v>
      </x:c>
      <x:c r="D522" s="1" t="str">
        <x:v>Closed Lost</x:v>
      </x:c>
      <x:c r="E522" s="1" t="str">
        <x:v>Lost</x:v>
      </x:c>
      <x:c r="F522" s="7" t="n">
        <x:v>763000</x:v>
      </x:c>
      <x:c r="G522" s="8" t="d">
        <x:v>2026-06-06T00:00:00.000Z</x:v>
      </x:c>
      <x:c r="H522" s="8" t="d">
        <x:v>2026-09-24T00:00:00.000Z</x:v>
      </x:c>
      <x:c r="I522" s="8" t="d">
        <x:v>2026-08-10T00:00:00.000Z</x:v>
      </x:c>
      <x:c r="J522" s="7" t="n">
        <x:v>0</x:v>
      </x:c>
      <x:c r="K522" s="1" t="n">
        <x:v>0</x:v>
      </x:c>
      <x:c r="L522" s="1" t="n">
        <x:v>0</x:v>
      </x:c>
      <x:c r="M522" s="1" t="n">
        <x:v>51</x:v>
      </x:c>
      <x:c r="N522" s="1"/>
      <x:c r="O522" s="1"/>
      <x:c r="P522" s="1"/>
      <x:c r="Q522" s="1"/>
    </x:row>
    <x:row r="523" ht="22" customHeight="1">
      <x:c r="A523" s="1" t="str">
        <x:v>O0518</x:v>
      </x:c>
      <x:c r="B523" s="1" t="str">
        <x:v>Simulated Bengaluru Engineering College 518</x:v>
      </x:c>
      <x:c r="C523" s="1" t="str">
        <x:v>South</x:v>
      </x:c>
      <x:c r="D523" s="1" t="str">
        <x:v>Closed Won</x:v>
      </x:c>
      <x:c r="E523" s="1" t="str">
        <x:v>Won</x:v>
      </x:c>
      <x:c r="F523" s="7" t="n">
        <x:v>190000</x:v>
      </x:c>
      <x:c r="G523" s="8" t="d">
        <x:v>2026-05-10T00:00:00.000Z</x:v>
      </x:c>
      <x:c r="H523" s="8" t="d">
        <x:v>2026-08-27T00:00:00.000Z</x:v>
      </x:c>
      <x:c r="I523" s="8" t="d">
        <x:v>2026-09-08T00:00:00.000Z</x:v>
      </x:c>
      <x:c r="J523" s="7" t="n">
        <x:v>11972.6</x:v>
      </x:c>
      <x:c r="K523" s="1" t="n">
        <x:v>0</x:v>
      </x:c>
      <x:c r="L523" s="1" t="n">
        <x:v>0</x:v>
      </x:c>
      <x:c r="M523" s="1" t="n">
        <x:v>22</x:v>
      </x:c>
      <x:c r="N523" s="1"/>
      <x:c r="O523" s="1"/>
      <x:c r="P523" s="1"/>
      <x:c r="Q523" s="1"/>
    </x:row>
    <x:row r="524" ht="22" customHeight="1">
      <x:c r="A524" s="1" t="str">
        <x:v>O0519</x:v>
      </x:c>
      <x:c r="B524" s="1" t="str">
        <x:v>Simulated Chennai Engineering College 519</x:v>
      </x:c>
      <x:c r="C524" s="1" t="str">
        <x:v>South</x:v>
      </x:c>
      <x:c r="D524" s="1" t="str">
        <x:v>Proposal Sent</x:v>
      </x:c>
      <x:c r="E524" s="1" t="str">
        <x:v>Open</x:v>
      </x:c>
      <x:c r="F524" s="7" t="n">
        <x:v>282000</x:v>
      </x:c>
      <x:c r="G524" s="8" t="d">
        <x:v>2026-06-22T00:00:00.000Z</x:v>
      </x:c>
      <x:c r="H524" s="8" t="d">
        <x:v>2026-11-11T00:00:00.000Z</x:v>
      </x:c>
      <x:c r="I524" s="8"/>
      <x:c r="J524" s="7" t="n">
        <x:v>0</x:v>
      </x:c>
      <x:c r="K524" s="1" t="n">
        <x:v>59.75</x:v>
      </x:c>
      <x:c r="L524" s="1" t="n">
        <x:v>1</x:v>
      </x:c>
      <x:c r="M524" s="1" t="n">
        <x:v>2</x:v>
      </x:c>
      <x:c r="N524" s="1"/>
      <x:c r="O524" s="1"/>
      <x:c r="P524" s="1"/>
      <x:c r="Q524" s="1"/>
    </x:row>
    <x:row r="525" ht="22" customHeight="1">
      <x:c r="A525" s="1" t="str">
        <x:v>O0520</x:v>
      </x:c>
      <x:c r="B525" s="1" t="str">
        <x:v>Simulated Hyderabad Arts and Science College 520</x:v>
      </x:c>
      <x:c r="C525" s="1" t="str">
        <x:v>South</x:v>
      </x:c>
      <x:c r="D525" s="1" t="str">
        <x:v>Qualified</x:v>
      </x:c>
      <x:c r="E525" s="1" t="str">
        <x:v>Open</x:v>
      </x:c>
      <x:c r="F525" s="7" t="n">
        <x:v>237000</x:v>
      </x:c>
      <x:c r="G525" s="8" t="d">
        <x:v>2026-03-22T00:00:00.000Z</x:v>
      </x:c>
      <x:c r="H525" s="8" t="d">
        <x:v>2026-06-15T00:00:00.000Z</x:v>
      </x:c>
      <x:c r="I525" s="8"/>
      <x:c r="J525" s="7" t="n">
        <x:v>0</x:v>
      </x:c>
      <x:c r="K525" s="1" t="n">
        <x:v>36.12</x:v>
      </x:c>
      <x:c r="L525" s="1" t="n">
        <x:v>1</x:v>
      </x:c>
      <x:c r="M525" s="1" t="n">
        <x:v>166</x:v>
      </x:c>
      <x:c r="N525" s="1"/>
      <x:c r="O525" s="1"/>
      <x:c r="P525" s="1"/>
      <x:c r="Q525" s="1"/>
    </x:row>
    <x:row r="526" ht="22" customHeight="1">
      <x:c r="A526" s="1" t="str">
        <x:v>O0521</x:v>
      </x:c>
      <x:c r="B526" s="1" t="str">
        <x:v>Simulated Kolkata Management Institute 521</x:v>
      </x:c>
      <x:c r="C526" s="1" t="str">
        <x:v>East</x:v>
      </x:c>
      <x:c r="D526" s="1" t="str">
        <x:v>Closed Lost</x:v>
      </x:c>
      <x:c r="E526" s="1" t="str">
        <x:v>Lost</x:v>
      </x:c>
      <x:c r="F526" s="7" t="n">
        <x:v>191000</x:v>
      </x:c>
      <x:c r="G526" s="8" t="d">
        <x:v>2026-04-30T00:00:00.000Z</x:v>
      </x:c>
      <x:c r="H526" s="8" t="d">
        <x:v>2026-08-05T00:00:00.000Z</x:v>
      </x:c>
      <x:c r="I526" s="8" t="d">
        <x:v>2026-09-10T00:00:00.000Z</x:v>
      </x:c>
      <x:c r="J526" s="7" t="n">
        <x:v>0</x:v>
      </x:c>
      <x:c r="K526" s="1" t="n">
        <x:v>0</x:v>
      </x:c>
      <x:c r="L526" s="1" t="n">
        <x:v>0</x:v>
      </x:c>
      <x:c r="M526" s="1" t="n">
        <x:v>20</x:v>
      </x:c>
      <x:c r="N526" s="1"/>
      <x:c r="O526" s="1"/>
      <x:c r="P526" s="1"/>
      <x:c r="Q526" s="1"/>
    </x:row>
    <x:row r="527" ht="22" customHeight="1">
      <x:c r="A527" s="1" t="str">
        <x:v>O0522</x:v>
      </x:c>
      <x:c r="B527" s="1" t="str">
        <x:v>Simulated Bhubaneswar University 522</x:v>
      </x:c>
      <x:c r="C527" s="1" t="str">
        <x:v>East</x:v>
      </x:c>
      <x:c r="D527" s="1" t="str">
        <x:v>Initial Contact</x:v>
      </x:c>
      <x:c r="E527" s="1" t="str">
        <x:v>Open</x:v>
      </x:c>
      <x:c r="F527" s="7" t="n">
        <x:v>210000</x:v>
      </x:c>
      <x:c r="G527" s="8" t="d">
        <x:v>2026-05-02T00:00:00.000Z</x:v>
      </x:c>
      <x:c r="H527" s="8" t="d">
        <x:v>2026-09-23T00:00:00.000Z</x:v>
      </x:c>
      <x:c r="I527" s="8"/>
      <x:c r="J527" s="7" t="n">
        <x:v>0</x:v>
      </x:c>
      <x:c r="K527" s="1" t="n">
        <x:v>53.42</x:v>
      </x:c>
      <x:c r="L527" s="1" t="n">
        <x:v>0</x:v>
      </x:c>
      <x:c r="M527" s="1" t="n">
        <x:v>110</x:v>
      </x:c>
      <x:c r="N527" s="1"/>
      <x:c r="O527" s="1"/>
      <x:c r="P527" s="1"/>
      <x:c r="Q527" s="1"/>
    </x:row>
    <x:row r="528" ht="22" customHeight="1">
      <x:c r="A528" s="1" t="str">
        <x:v>O0523</x:v>
      </x:c>
      <x:c r="B528" s="1" t="str">
        <x:v>Simulated Patna Management Institute 523</x:v>
      </x:c>
      <x:c r="C528" s="1" t="str">
        <x:v>East</x:v>
      </x:c>
      <x:c r="D528" s="1" t="str">
        <x:v>Meeting Scheduled</x:v>
      </x:c>
      <x:c r="E528" s="1" t="str">
        <x:v>Open</x:v>
      </x:c>
      <x:c r="F528" s="7" t="n">
        <x:v>134000</x:v>
      </x:c>
      <x:c r="G528" s="8" t="d">
        <x:v>2026-08-06T00:00:00.000Z</x:v>
      </x:c>
      <x:c r="H528" s="8" t="d">
        <x:v>2026-11-05T00:00:00.000Z</x:v>
      </x:c>
      <x:c r="I528" s="8"/>
      <x:c r="J528" s="7" t="n">
        <x:v>0</x:v>
      </x:c>
      <x:c r="K528" s="1" t="n">
        <x:v>50.74</x:v>
      </x:c>
      <x:c r="L528" s="1" t="n">
        <x:v>0</x:v>
      </x:c>
      <x:c r="M528" s="1" t="n">
        <x:v>8</x:v>
      </x:c>
      <x:c r="N528" s="1"/>
      <x:c r="O528" s="1"/>
      <x:c r="P528" s="1"/>
      <x:c r="Q528" s="1"/>
    </x:row>
    <x:row r="529" ht="22" customHeight="1">
      <x:c r="A529" s="1" t="str">
        <x:v>O0524</x:v>
      </x:c>
      <x:c r="B529" s="1" t="str">
        <x:v>Simulated Guwahati University 524</x:v>
      </x:c>
      <x:c r="C529" s="1" t="str">
        <x:v>Northeast</x:v>
      </x:c>
      <x:c r="D529" s="1" t="str">
        <x:v>Prospect Identified</x:v>
      </x:c>
      <x:c r="E529" s="1" t="str">
        <x:v>Open</x:v>
      </x:c>
      <x:c r="F529" s="7" t="n">
        <x:v>635000</x:v>
      </x:c>
      <x:c r="G529" s="8" t="d">
        <x:v>2026-07-21T00:00:00.000Z</x:v>
      </x:c>
      <x:c r="H529" s="8" t="d">
        <x:v>2026-11-03T00:00:00.000Z</x:v>
      </x:c>
      <x:c r="I529" s="8"/>
      <x:c r="J529" s="7" t="n">
        <x:v>0</x:v>
      </x:c>
      <x:c r="K529" s="1" t="n">
        <x:v>60.53</x:v>
      </x:c>
      <x:c r="L529" s="1" t="n">
        <x:v>1</x:v>
      </x:c>
      <x:c r="M529" s="1" t="n">
        <x:v>71</x:v>
      </x:c>
      <x:c r="N529" s="1"/>
      <x:c r="O529" s="1"/>
      <x:c r="P529" s="1"/>
      <x:c r="Q529" s="1"/>
    </x:row>
    <x:row r="530" ht="22" customHeight="1">
      <x:c r="A530" s="1" t="str">
        <x:v>O0525</x:v>
      </x:c>
      <x:c r="B530" s="1" t="str">
        <x:v>Simulated Indore Engineering College 525</x:v>
      </x:c>
      <x:c r="C530" s="1" t="str">
        <x:v>Central</x:v>
      </x:c>
      <x:c r="D530" s="1" t="str">
        <x:v>Prospect Identified</x:v>
      </x:c>
      <x:c r="E530" s="1" t="str">
        <x:v>Open</x:v>
      </x:c>
      <x:c r="F530" s="7" t="n">
        <x:v>119000</x:v>
      </x:c>
      <x:c r="G530" s="8" t="d">
        <x:v>2026-03-08T00:00:00.000Z</x:v>
      </x:c>
      <x:c r="H530" s="8" t="d">
        <x:v>2026-07-25T00:00:00.000Z</x:v>
      </x:c>
      <x:c r="I530" s="8"/>
      <x:c r="J530" s="7" t="n">
        <x:v>0</x:v>
      </x:c>
      <x:c r="K530" s="1" t="n">
        <x:v>27.12</x:v>
      </x:c>
      <x:c r="L530" s="1" t="n">
        <x:v>1</x:v>
      </x:c>
      <x:c r="M530" s="1" t="n">
        <x:v>206</x:v>
      </x:c>
      <x:c r="N530" s="1"/>
      <x:c r="O530" s="1"/>
      <x:c r="P530" s="1"/>
      <x:c r="Q530" s="1"/>
    </x:row>
    <x:row r="531" ht="22" customHeight="1">
      <x:c r="A531" s="1" t="str">
        <x:v>O0526</x:v>
      </x:c>
      <x:c r="B531" s="1" t="str">
        <x:v>Simulated New Delhi Engineering College 526</x:v>
      </x:c>
      <x:c r="C531" s="1" t="str">
        <x:v>North</x:v>
      </x:c>
      <x:c r="D531" s="1" t="str">
        <x:v>Closed Won</x:v>
      </x:c>
      <x:c r="E531" s="1" t="str">
        <x:v>Won</x:v>
      </x:c>
      <x:c r="F531" s="7" t="n">
        <x:v>336000</x:v>
      </x:c>
      <x:c r="G531" s="8" t="d">
        <x:v>2025-10-09T00:00:00.000Z</x:v>
      </x:c>
      <x:c r="H531" s="8" t="d">
        <x:v>2026-01-11T00:00:00.000Z</x:v>
      </x:c>
      <x:c r="I531" s="8" t="d">
        <x:v>2026-02-21T00:00:00.000Z</x:v>
      </x:c>
      <x:c r="J531" s="7" t="n">
        <x:v>204361.64</x:v>
      </x:c>
      <x:c r="K531" s="1" t="n">
        <x:v>0</x:v>
      </x:c>
      <x:c r="L531" s="1" t="n">
        <x:v>0</x:v>
      </x:c>
      <x:c r="M531" s="1" t="n">
        <x:v>221</x:v>
      </x:c>
      <x:c r="N531" s="1"/>
      <x:c r="O531" s="1"/>
      <x:c r="P531" s="1"/>
      <x:c r="Q531" s="1"/>
    </x:row>
    <x:row r="532" ht="22" customHeight="1">
      <x:c r="A532" s="1" t="str">
        <x:v>O0527</x:v>
      </x:c>
      <x:c r="B532" s="1" t="str">
        <x:v>Simulated Noida Arts and Science College 527</x:v>
      </x:c>
      <x:c r="C532" s="1" t="str">
        <x:v>North</x:v>
      </x:c>
      <x:c r="D532" s="1" t="str">
        <x:v>Qualified</x:v>
      </x:c>
      <x:c r="E532" s="1" t="str">
        <x:v>Open</x:v>
      </x:c>
      <x:c r="F532" s="7" t="n">
        <x:v>134000</x:v>
      </x:c>
      <x:c r="G532" s="8" t="d">
        <x:v>2025-10-19T00:00:00.000Z</x:v>
      </x:c>
      <x:c r="H532" s="8" t="d">
        <x:v>2026-02-03T00:00:00.000Z</x:v>
      </x:c>
      <x:c r="I532" s="8"/>
      <x:c r="J532" s="7" t="n">
        <x:v>0</x:v>
      </x:c>
      <x:c r="K532" s="1" t="n">
        <x:v>31.4</x:v>
      </x:c>
      <x:c r="L532" s="1" t="n">
        <x:v>1</x:v>
      </x:c>
      <x:c r="M532" s="1" t="n">
        <x:v>337</x:v>
      </x:c>
      <x:c r="N532" s="1"/>
      <x:c r="O532" s="1"/>
      <x:c r="P532" s="1"/>
      <x:c r="Q532" s="1"/>
    </x:row>
    <x:row r="533" ht="22" customHeight="1">
      <x:c r="A533" s="1" t="str">
        <x:v>O0528</x:v>
      </x:c>
      <x:c r="B533" s="1" t="str">
        <x:v>Simulated Gurugram Arts and Science College 528</x:v>
      </x:c>
      <x:c r="C533" s="1" t="str">
        <x:v>North</x:v>
      </x:c>
      <x:c r="D533" s="1" t="str">
        <x:v>Closed Lost</x:v>
      </x:c>
      <x:c r="E533" s="1" t="str">
        <x:v>Lost</x:v>
      </x:c>
      <x:c r="F533" s="7" t="n">
        <x:v>119000</x:v>
      </x:c>
      <x:c r="G533" s="8" t="d">
        <x:v>2025-12-18T00:00:00.000Z</x:v>
      </x:c>
      <x:c r="H533" s="8" t="d">
        <x:v>2026-05-15T00:00:00.000Z</x:v>
      </x:c>
      <x:c r="I533" s="8" t="d">
        <x:v>2025-12-25T00:00:00.000Z</x:v>
      </x:c>
      <x:c r="J533" s="7" t="n">
        <x:v>0</x:v>
      </x:c>
      <x:c r="K533" s="1" t="n">
        <x:v>0</x:v>
      </x:c>
      <x:c r="L533" s="1" t="n">
        <x:v>0</x:v>
      </x:c>
      <x:c r="M533" s="1" t="n">
        <x:v>279</x:v>
      </x:c>
      <x:c r="N533" s="1"/>
      <x:c r="O533" s="1"/>
      <x:c r="P533" s="1"/>
      <x:c r="Q533" s="1"/>
    </x:row>
    <x:row r="534" ht="22" customHeight="1">
      <x:c r="A534" s="1" t="str">
        <x:v>O0529</x:v>
      </x:c>
      <x:c r="B534" s="1" t="str">
        <x:v>Simulated Ludhiana Management Institute 529</x:v>
      </x:c>
      <x:c r="C534" s="1" t="str">
        <x:v>North</x:v>
      </x:c>
      <x:c r="D534" s="1" t="str">
        <x:v>Closed Won</x:v>
      </x:c>
      <x:c r="E534" s="1" t="str">
        <x:v>Won</x:v>
      </x:c>
      <x:c r="F534" s="7" t="n">
        <x:v>148000</x:v>
      </x:c>
      <x:c r="G534" s="8" t="d">
        <x:v>2026-03-03T00:00:00.000Z</x:v>
      </x:c>
      <x:c r="H534" s="8" t="d">
        <x:v>2026-06-07T00:00:00.000Z</x:v>
      </x:c>
      <x:c r="I534" s="8" t="d">
        <x:v>2026-07-17T00:00:00.000Z</x:v>
      </x:c>
      <x:c r="J534" s="7" t="n">
        <x:v>30816.44</x:v>
      </x:c>
      <x:c r="K534" s="1" t="n">
        <x:v>0</x:v>
      </x:c>
      <x:c r="L534" s="1" t="n">
        <x:v>0</x:v>
      </x:c>
      <x:c r="M534" s="1" t="n">
        <x:v>75</x:v>
      </x:c>
      <x:c r="N534" s="1"/>
      <x:c r="O534" s="1"/>
      <x:c r="P534" s="1"/>
      <x:c r="Q534" s="1"/>
    </x:row>
    <x:row r="535" ht="22" customHeight="1">
      <x:c r="A535" s="1" t="str">
        <x:v>O0530</x:v>
      </x:c>
      <x:c r="B535" s="1" t="str">
        <x:v>Simulated Pune Management Institute 530</x:v>
      </x:c>
      <x:c r="C535" s="1" t="str">
        <x:v>West</x:v>
      </x:c>
      <x:c r="D535" s="1" t="str">
        <x:v>Prospect Identified</x:v>
      </x:c>
      <x:c r="E535" s="1" t="str">
        <x:v>Open</x:v>
      </x:c>
      <x:c r="F535" s="7" t="n">
        <x:v>146000</x:v>
      </x:c>
      <x:c r="G535" s="8" t="d">
        <x:v>2026-05-05T00:00:00.000Z</x:v>
      </x:c>
      <x:c r="H535" s="8" t="d">
        <x:v>2026-09-05T00:00:00.000Z</x:v>
      </x:c>
      <x:c r="I535" s="8"/>
      <x:c r="J535" s="7" t="n">
        <x:v>0</x:v>
      </x:c>
      <x:c r="K535" s="1" t="n">
        <x:v>41.34</x:v>
      </x:c>
      <x:c r="L535" s="1" t="n">
        <x:v>1</x:v>
      </x:c>
      <x:c r="M535" s="1" t="n">
        <x:v>148</x:v>
      </x:c>
      <x:c r="N535" s="1"/>
      <x:c r="O535" s="1"/>
      <x:c r="P535" s="1"/>
      <x:c r="Q535" s="1"/>
    </x:row>
    <x:row r="536" ht="22" customHeight="1">
      <x:c r="A536" s="1" t="str">
        <x:v>O0531</x:v>
      </x:c>
      <x:c r="B536" s="1" t="str">
        <x:v>Simulated Ahmedabad Engineering College 531</x:v>
      </x:c>
      <x:c r="C536" s="1" t="str">
        <x:v>West</x:v>
      </x:c>
      <x:c r="D536" s="1" t="str">
        <x:v>Closed Lost</x:v>
      </x:c>
      <x:c r="E536" s="1" t="str">
        <x:v>Lost</x:v>
      </x:c>
      <x:c r="F536" s="7" t="n">
        <x:v>294000</x:v>
      </x:c>
      <x:c r="G536" s="8" t="d">
        <x:v>2026-02-20T00:00:00.000Z</x:v>
      </x:c>
      <x:c r="H536" s="8" t="d">
        <x:v>2026-06-04T00:00:00.000Z</x:v>
      </x:c>
      <x:c r="I536" s="8" t="d">
        <x:v>2026-05-11T00:00:00.000Z</x:v>
      </x:c>
      <x:c r="J536" s="7" t="n">
        <x:v>0</x:v>
      </x:c>
      <x:c r="K536" s="1" t="n">
        <x:v>0</x:v>
      </x:c>
      <x:c r="L536" s="1" t="n">
        <x:v>0</x:v>
      </x:c>
      <x:c r="M536" s="1" t="n">
        <x:v>142</x:v>
      </x:c>
      <x:c r="N536" s="1"/>
      <x:c r="O536" s="1"/>
      <x:c r="P536" s="1"/>
      <x:c r="Q536" s="1"/>
    </x:row>
    <x:row r="537" ht="22" customHeight="1">
      <x:c r="A537" s="1" t="str">
        <x:v>O0532</x:v>
      </x:c>
      <x:c r="B537" s="1" t="str">
        <x:v>Simulated Jaipur University 532</x:v>
      </x:c>
      <x:c r="C537" s="1" t="str">
        <x:v>West</x:v>
      </x:c>
      <x:c r="D537" s="1" t="str">
        <x:v>Closed Won</x:v>
      </x:c>
      <x:c r="E537" s="1" t="str">
        <x:v>Won</x:v>
      </x:c>
      <x:c r="F537" s="7" t="n">
        <x:v>318000</x:v>
      </x:c>
      <x:c r="G537" s="8" t="d">
        <x:v>2025-11-02T00:00:00.000Z</x:v>
      </x:c>
      <x:c r="H537" s="8" t="d">
        <x:v>2026-02-10T00:00:00.000Z</x:v>
      </x:c>
      <x:c r="I537" s="8" t="d">
        <x:v>2026-03-20T00:00:00.000Z</x:v>
      </x:c>
      <x:c r="J537" s="7" t="n">
        <x:v>169890.41</x:v>
      </x:c>
      <x:c r="K537" s="1" t="n">
        <x:v>0</x:v>
      </x:c>
      <x:c r="L537" s="1" t="n">
        <x:v>0</x:v>
      </x:c>
      <x:c r="M537" s="1" t="n">
        <x:v>194</x:v>
      </x:c>
      <x:c r="N537" s="1"/>
      <x:c r="O537" s="1"/>
      <x:c r="P537" s="1"/>
      <x:c r="Q537" s="1"/>
    </x:row>
    <x:row r="538" ht="22" customHeight="1">
      <x:c r="A538" s="1" t="str">
        <x:v>O0533</x:v>
      </x:c>
      <x:c r="B538" s="1" t="str">
        <x:v>Simulated Bengaluru University 533</x:v>
      </x:c>
      <x:c r="C538" s="1" t="str">
        <x:v>South</x:v>
      </x:c>
      <x:c r="D538" s="1" t="str">
        <x:v>Closed Lost</x:v>
      </x:c>
      <x:c r="E538" s="1" t="str">
        <x:v>Lost</x:v>
      </x:c>
      <x:c r="F538" s="7" t="n">
        <x:v>299000</x:v>
      </x:c>
      <x:c r="G538" s="8" t="d">
        <x:v>2026-04-17T00:00:00.000Z</x:v>
      </x:c>
      <x:c r="H538" s="8" t="d">
        <x:v>2026-08-22T00:00:00.000Z</x:v>
      </x:c>
      <x:c r="I538" s="8" t="d">
        <x:v>2026-07-15T00:00:00.000Z</x:v>
      </x:c>
      <x:c r="J538" s="7" t="n">
        <x:v>0</x:v>
      </x:c>
      <x:c r="K538" s="1" t="n">
        <x:v>0</x:v>
      </x:c>
      <x:c r="L538" s="1" t="n">
        <x:v>0</x:v>
      </x:c>
      <x:c r="M538" s="1" t="n">
        <x:v>77</x:v>
      </x:c>
      <x:c r="N538" s="1"/>
      <x:c r="O538" s="1"/>
      <x:c r="P538" s="1"/>
      <x:c r="Q538" s="1"/>
    </x:row>
    <x:row r="539" ht="22" customHeight="1">
      <x:c r="A539" s="1" t="str">
        <x:v>O0534</x:v>
      </x:c>
      <x:c r="B539" s="1" t="str">
        <x:v>Simulated Chennai Engineering College 534</x:v>
      </x:c>
      <x:c r="C539" s="1" t="str">
        <x:v>South</x:v>
      </x:c>
      <x:c r="D539" s="1" t="str">
        <x:v>Initial Contact</x:v>
      </x:c>
      <x:c r="E539" s="1" t="str">
        <x:v>Open</x:v>
      </x:c>
      <x:c r="F539" s="7" t="n">
        <x:v>86000</x:v>
      </x:c>
      <x:c r="G539" s="8" t="d">
        <x:v>2025-10-10T00:00:00.000Z</x:v>
      </x:c>
      <x:c r="H539" s="8" t="d">
        <x:v>2026-02-26T00:00:00.000Z</x:v>
      </x:c>
      <x:c r="I539" s="8"/>
      <x:c r="J539" s="7" t="n">
        <x:v>0</x:v>
      </x:c>
      <x:c r="K539" s="1" t="n">
        <x:v>36.63</x:v>
      </x:c>
      <x:c r="L539" s="1" t="n">
        <x:v>1</x:v>
      </x:c>
      <x:c r="M539" s="1" t="n">
        <x:v>333</x:v>
      </x:c>
      <x:c r="N539" s="1"/>
      <x:c r="O539" s="1"/>
      <x:c r="P539" s="1"/>
      <x:c r="Q539" s="1"/>
    </x:row>
    <x:row r="540" ht="22" customHeight="1">
      <x:c r="A540" s="1" t="str">
        <x:v>O0535</x:v>
      </x:c>
      <x:c r="B540" s="1" t="str">
        <x:v>Simulated Hyderabad University 535</x:v>
      </x:c>
      <x:c r="C540" s="1" t="str">
        <x:v>South</x:v>
      </x:c>
      <x:c r="D540" s="1" t="str">
        <x:v>Closed Lost</x:v>
      </x:c>
      <x:c r="E540" s="1" t="str">
        <x:v>Lost</x:v>
      </x:c>
      <x:c r="F540" s="7" t="n">
        <x:v>529000</x:v>
      </x:c>
      <x:c r="G540" s="8" t="d">
        <x:v>2026-03-26T00:00:00.000Z</x:v>
      </x:c>
      <x:c r="H540" s="8" t="d">
        <x:v>2026-08-19T00:00:00.000Z</x:v>
      </x:c>
      <x:c r="I540" s="8" t="d">
        <x:v>2026-05-06T00:00:00.000Z</x:v>
      </x:c>
      <x:c r="J540" s="7" t="n">
        <x:v>0</x:v>
      </x:c>
      <x:c r="K540" s="1" t="n">
        <x:v>0</x:v>
      </x:c>
      <x:c r="L540" s="1" t="n">
        <x:v>0</x:v>
      </x:c>
      <x:c r="M540" s="1" t="n">
        <x:v>147</x:v>
      </x:c>
      <x:c r="N540" s="1"/>
      <x:c r="O540" s="1"/>
      <x:c r="P540" s="1"/>
      <x:c r="Q540" s="1"/>
    </x:row>
    <x:row r="541" ht="22" customHeight="1">
      <x:c r="A541" s="1" t="str">
        <x:v>O0536</x:v>
      </x:c>
      <x:c r="B541" s="1" t="str">
        <x:v>Simulated Kolkata Management Institute 536</x:v>
      </x:c>
      <x:c r="C541" s="1" t="str">
        <x:v>East</x:v>
      </x:c>
      <x:c r="D541" s="1" t="str">
        <x:v>Prospect Identified</x:v>
      </x:c>
      <x:c r="E541" s="1" t="str">
        <x:v>Open</x:v>
      </x:c>
      <x:c r="F541" s="7" t="n">
        <x:v>206000</x:v>
      </x:c>
      <x:c r="G541" s="8" t="d">
        <x:v>2026-01-17T00:00:00.000Z</x:v>
      </x:c>
      <x:c r="H541" s="8" t="d">
        <x:v>2026-05-20T00:00:00.000Z</x:v>
      </x:c>
      <x:c r="I541" s="8"/>
      <x:c r="J541" s="7" t="n">
        <x:v>0</x:v>
      </x:c>
      <x:c r="K541" s="1" t="n">
        <x:v>39.53</x:v>
      </x:c>
      <x:c r="L541" s="1" t="n">
        <x:v>0</x:v>
      </x:c>
      <x:c r="M541" s="1" t="n">
        <x:v>256</x:v>
      </x:c>
      <x:c r="N541" s="1"/>
      <x:c r="O541" s="1"/>
      <x:c r="P541" s="1"/>
      <x:c r="Q541" s="1"/>
    </x:row>
    <x:row r="542" ht="22" customHeight="1">
      <x:c r="A542" s="1" t="str">
        <x:v>O0537</x:v>
      </x:c>
      <x:c r="B542" s="1" t="str">
        <x:v>Simulated Bhubaneswar University 537</x:v>
      </x:c>
      <x:c r="C542" s="1" t="str">
        <x:v>East</x:v>
      </x:c>
      <x:c r="D542" s="1" t="str">
        <x:v>Proposal Sent</x:v>
      </x:c>
      <x:c r="E542" s="1" t="str">
        <x:v>Open</x:v>
      </x:c>
      <x:c r="F542" s="7" t="n">
        <x:v>938000</x:v>
      </x:c>
      <x:c r="G542" s="8" t="d">
        <x:v>2026-02-17T00:00:00.000Z</x:v>
      </x:c>
      <x:c r="H542" s="8" t="d">
        <x:v>2026-05-27T00:00:00.000Z</x:v>
      </x:c>
      <x:c r="I542" s="8"/>
      <x:c r="J542" s="7" t="n">
        <x:v>0</x:v>
      </x:c>
      <x:c r="K542" s="1" t="n">
        <x:v>77.27</x:v>
      </x:c>
      <x:c r="L542" s="1" t="n">
        <x:v>1</x:v>
      </x:c>
      <x:c r="M542" s="1" t="n">
        <x:v>140</x:v>
      </x:c>
      <x:c r="N542" s="1"/>
      <x:c r="O542" s="1"/>
      <x:c r="P542" s="1"/>
      <x:c r="Q542" s="1"/>
    </x:row>
    <x:row r="543" ht="22" customHeight="1">
      <x:c r="A543" s="1" t="str">
        <x:v>O0538</x:v>
      </x:c>
      <x:c r="B543" s="1" t="str">
        <x:v>Simulated Patna Arts and Science College 538</x:v>
      </x:c>
      <x:c r="C543" s="1" t="str">
        <x:v>East</x:v>
      </x:c>
      <x:c r="D543" s="1" t="str">
        <x:v>Initial Contact</x:v>
      </x:c>
      <x:c r="E543" s="1" t="str">
        <x:v>Open</x:v>
      </x:c>
      <x:c r="F543" s="7" t="n">
        <x:v>272000</x:v>
      </x:c>
      <x:c r="G543" s="8" t="d">
        <x:v>2026-02-20T00:00:00.000Z</x:v>
      </x:c>
      <x:c r="H543" s="8" t="d">
        <x:v>2026-06-19T00:00:00.000Z</x:v>
      </x:c>
      <x:c r="I543" s="8"/>
      <x:c r="J543" s="7" t="n">
        <x:v>0</x:v>
      </x:c>
      <x:c r="K543" s="1" t="n">
        <x:v>47.03</x:v>
      </x:c>
      <x:c r="L543" s="1" t="n">
        <x:v>1</x:v>
      </x:c>
      <x:c r="M543" s="1" t="n">
        <x:v>173</x:v>
      </x:c>
      <x:c r="N543" s="1"/>
      <x:c r="O543" s="1"/>
      <x:c r="P543" s="1"/>
      <x:c r="Q543" s="1"/>
    </x:row>
    <x:row r="544" ht="22" customHeight="1">
      <x:c r="A544" s="1" t="str">
        <x:v>O0539</x:v>
      </x:c>
      <x:c r="B544" s="1" t="str">
        <x:v>Simulated Guwahati Arts and Science College 539</x:v>
      </x:c>
      <x:c r="C544" s="1" t="str">
        <x:v>Northeast</x:v>
      </x:c>
      <x:c r="D544" s="1" t="str">
        <x:v>Initial Contact</x:v>
      </x:c>
      <x:c r="E544" s="1" t="str">
        <x:v>Open</x:v>
      </x:c>
      <x:c r="F544" s="7" t="n">
        <x:v>197000</x:v>
      </x:c>
      <x:c r="G544" s="8" t="d">
        <x:v>2026-07-22T00:00:00.000Z</x:v>
      </x:c>
      <x:c r="H544" s="8" t="d">
        <x:v>2026-10-11T00:00:00.000Z</x:v>
      </x:c>
      <x:c r="I544" s="8"/>
      <x:c r="J544" s="7" t="n">
        <x:v>0</x:v>
      </x:c>
      <x:c r="K544" s="1" t="n">
        <x:v>48.54</x:v>
      </x:c>
      <x:c r="L544" s="1" t="n">
        <x:v>0</x:v>
      </x:c>
      <x:c r="M544" s="1" t="n">
        <x:v>50</x:v>
      </x:c>
      <x:c r="N544" s="1"/>
      <x:c r="O544" s="1"/>
      <x:c r="P544" s="1"/>
      <x:c r="Q544" s="1"/>
    </x:row>
    <x:row r="545" ht="22" customHeight="1">
      <x:c r="A545" s="1" t="str">
        <x:v>O0540</x:v>
      </x:c>
      <x:c r="B545" s="1" t="str">
        <x:v>Simulated Indore Arts and Science College 540</x:v>
      </x:c>
      <x:c r="C545" s="1" t="str">
        <x:v>Central</x:v>
      </x:c>
      <x:c r="D545" s="1" t="str">
        <x:v>Proposal Sent</x:v>
      </x:c>
      <x:c r="E545" s="1" t="str">
        <x:v>Open</x:v>
      </x:c>
      <x:c r="F545" s="7" t="n">
        <x:v>231000</x:v>
      </x:c>
      <x:c r="G545" s="8" t="d">
        <x:v>2025-11-16T00:00:00.000Z</x:v>
      </x:c>
      <x:c r="H545" s="8" t="d">
        <x:v>2026-02-27T00:00:00.000Z</x:v>
      </x:c>
      <x:c r="I545" s="8"/>
      <x:c r="J545" s="7" t="n">
        <x:v>0</x:v>
      </x:c>
      <x:c r="K545" s="1" t="n">
        <x:v>45.81</x:v>
      </x:c>
      <x:c r="L545" s="1" t="n">
        <x:v>1</x:v>
      </x:c>
      <x:c r="M545" s="1" t="n">
        <x:v>247</x:v>
      </x:c>
      <x:c r="N545" s="1"/>
      <x:c r="O545" s="1"/>
      <x:c r="P545" s="1"/>
      <x:c r="Q545" s="1"/>
    </x:row>
    <x:row r="546" ht="22" customHeight="1">
      <x:c r="A546" s="1" t="str">
        <x:v>O0541</x:v>
      </x:c>
      <x:c r="B546" s="1" t="str">
        <x:v>Simulated New Delhi Arts and Science College 541</x:v>
      </x:c>
      <x:c r="C546" s="1" t="str">
        <x:v>North</x:v>
      </x:c>
      <x:c r="D546" s="1" t="str">
        <x:v>Proposal Sent</x:v>
      </x:c>
      <x:c r="E546" s="1" t="str">
        <x:v>Open</x:v>
      </x:c>
      <x:c r="F546" s="7" t="n">
        <x:v>174000</x:v>
      </x:c>
      <x:c r="G546" s="8" t="d">
        <x:v>2026-01-31T00:00:00.000Z</x:v>
      </x:c>
      <x:c r="H546" s="8" t="d">
        <x:v>2026-04-21T00:00:00.000Z</x:v>
      </x:c>
      <x:c r="I546" s="8"/>
      <x:c r="J546" s="7" t="n">
        <x:v>0</x:v>
      </x:c>
      <x:c r="K546" s="1" t="n">
        <x:v>54.86</x:v>
      </x:c>
      <x:c r="L546" s="1" t="n">
        <x:v>1</x:v>
      </x:c>
      <x:c r="M546" s="1" t="n">
        <x:v>144</x:v>
      </x:c>
      <x:c r="N546" s="1"/>
      <x:c r="O546" s="1"/>
      <x:c r="P546" s="1"/>
      <x:c r="Q546" s="1"/>
    </x:row>
    <x:row r="547" ht="22" customHeight="1">
      <x:c r="A547" s="1" t="str">
        <x:v>O0542</x:v>
      </x:c>
      <x:c r="B547" s="1" t="str">
        <x:v>Simulated Noida Engineering College 542</x:v>
      </x:c>
      <x:c r="C547" s="1" t="str">
        <x:v>North</x:v>
      </x:c>
      <x:c r="D547" s="1" t="str">
        <x:v>Qualified</x:v>
      </x:c>
      <x:c r="E547" s="1" t="str">
        <x:v>Open</x:v>
      </x:c>
      <x:c r="F547" s="7" t="n">
        <x:v>201000</x:v>
      </x:c>
      <x:c r="G547" s="8" t="d">
        <x:v>2026-05-14T00:00:00.000Z</x:v>
      </x:c>
      <x:c r="H547" s="8" t="d">
        <x:v>2026-08-26T00:00:00.000Z</x:v>
      </x:c>
      <x:c r="I547" s="8"/>
      <x:c r="J547" s="7" t="n">
        <x:v>0</x:v>
      </x:c>
      <x:c r="K547" s="1" t="n">
        <x:v>48.94</x:v>
      </x:c>
      <x:c r="L547" s="1" t="n">
        <x:v>0</x:v>
      </x:c>
      <x:c r="M547" s="1" t="n">
        <x:v>132</x:v>
      </x:c>
      <x:c r="N547" s="1"/>
      <x:c r="O547" s="1"/>
      <x:c r="P547" s="1"/>
      <x:c r="Q547" s="1"/>
    </x:row>
    <x:row r="548" ht="22" customHeight="1">
      <x:c r="A548" s="1" t="str">
        <x:v>O0543</x:v>
      </x:c>
      <x:c r="B548" s="1" t="str">
        <x:v>Simulated Gurugram University 543</x:v>
      </x:c>
      <x:c r="C548" s="1" t="str">
        <x:v>North</x:v>
      </x:c>
      <x:c r="D548" s="1" t="str">
        <x:v>Prospect Identified</x:v>
      </x:c>
      <x:c r="E548" s="1" t="str">
        <x:v>Open</x:v>
      </x:c>
      <x:c r="F548" s="7" t="n">
        <x:v>421000</x:v>
      </x:c>
      <x:c r="G548" s="8" t="d">
        <x:v>2026-09-23T00:00:00.000Z</x:v>
      </x:c>
      <x:c r="H548" s="8" t="d">
        <x:v>2026-12-16T00:00:00.000Z</x:v>
      </x:c>
      <x:c r="I548" s="8"/>
      <x:c r="J548" s="7" t="n">
        <x:v>0</x:v>
      </x:c>
      <x:c r="K548" s="1" t="n">
        <x:v>51.4</x:v>
      </x:c>
      <x:c r="L548" s="1" t="n">
        <x:v>0</x:v>
      </x:c>
      <x:c r="M548" s="1" t="n">
        <x:v>7</x:v>
      </x:c>
      <x:c r="N548" s="1"/>
      <x:c r="O548" s="1"/>
      <x:c r="P548" s="1"/>
      <x:c r="Q548" s="1"/>
    </x:row>
    <x:row r="549" ht="22" customHeight="1">
      <x:c r="A549" s="1" t="str">
        <x:v>O0544</x:v>
      </x:c>
      <x:c r="B549" s="1" t="str">
        <x:v>Simulated Ludhiana University 544</x:v>
      </x:c>
      <x:c r="C549" s="1" t="str">
        <x:v>North</x:v>
      </x:c>
      <x:c r="D549" s="1" t="str">
        <x:v>Closed Won</x:v>
      </x:c>
      <x:c r="E549" s="1" t="str">
        <x:v>Won</x:v>
      </x:c>
      <x:c r="F549" s="7" t="n">
        <x:v>447000</x:v>
      </x:c>
      <x:c r="G549" s="8" t="d">
        <x:v>2026-04-07T00:00:00.000Z</x:v>
      </x:c>
      <x:c r="H549" s="8" t="d">
        <x:v>2026-08-04T00:00:00.000Z</x:v>
      </x:c>
      <x:c r="I549" s="8" t="d">
        <x:v>2026-08-22T00:00:00.000Z</x:v>
      </x:c>
      <x:c r="J549" s="7" t="n">
        <x:v>48986.3</x:v>
      </x:c>
      <x:c r="K549" s="1" t="n">
        <x:v>0</x:v>
      </x:c>
      <x:c r="L549" s="1" t="n">
        <x:v>0</x:v>
      </x:c>
      <x:c r="M549" s="1" t="n">
        <x:v>39</x:v>
      </x:c>
      <x:c r="N549" s="1"/>
      <x:c r="O549" s="1"/>
      <x:c r="P549" s="1"/>
      <x:c r="Q549" s="1"/>
    </x:row>
    <x:row r="550" ht="22" customHeight="1">
      <x:c r="A550" s="1" t="str">
        <x:v>O0545</x:v>
      </x:c>
      <x:c r="B550" s="1" t="str">
        <x:v>Simulated Pune Management Institute 545</x:v>
      </x:c>
      <x:c r="C550" s="1" t="str">
        <x:v>West</x:v>
      </x:c>
      <x:c r="D550" s="1" t="str">
        <x:v>Closed Lost</x:v>
      </x:c>
      <x:c r="E550" s="1" t="str">
        <x:v>Lost</x:v>
      </x:c>
      <x:c r="F550" s="7" t="n">
        <x:v>279000</x:v>
      </x:c>
      <x:c r="G550" s="8" t="d">
        <x:v>2025-11-21T00:00:00.000Z</x:v>
      </x:c>
      <x:c r="H550" s="8" t="d">
        <x:v>2026-04-19T00:00:00.000Z</x:v>
      </x:c>
      <x:c r="I550" s="8" t="d">
        <x:v>2026-02-05T00:00:00.000Z</x:v>
      </x:c>
      <x:c r="J550" s="7" t="n">
        <x:v>0</x:v>
      </x:c>
      <x:c r="K550" s="1" t="n">
        <x:v>0</x:v>
      </x:c>
      <x:c r="L550" s="1" t="n">
        <x:v>0</x:v>
      </x:c>
      <x:c r="M550" s="1" t="n">
        <x:v>237</x:v>
      </x:c>
      <x:c r="N550" s="1"/>
      <x:c r="O550" s="1"/>
      <x:c r="P550" s="1"/>
      <x:c r="Q550" s="1"/>
    </x:row>
    <x:row r="551" ht="22" customHeight="1">
      <x:c r="A551" s="1" t="str">
        <x:v>O0546</x:v>
      </x:c>
      <x:c r="B551" s="1" t="str">
        <x:v>Simulated Ahmedabad Engineering College 546</x:v>
      </x:c>
      <x:c r="C551" s="1" t="str">
        <x:v>West</x:v>
      </x:c>
      <x:c r="D551" s="1" t="str">
        <x:v>Negotiation</x:v>
      </x:c>
      <x:c r="E551" s="1" t="str">
        <x:v>Open</x:v>
      </x:c>
      <x:c r="F551" s="7" t="n">
        <x:v>142000</x:v>
      </x:c>
      <x:c r="G551" s="8" t="d">
        <x:v>2025-12-25T00:00:00.000Z</x:v>
      </x:c>
      <x:c r="H551" s="8" t="d">
        <x:v>2026-04-06T00:00:00.000Z</x:v>
      </x:c>
      <x:c r="I551" s="8"/>
      <x:c r="J551" s="7" t="n">
        <x:v>0</x:v>
      </x:c>
      <x:c r="K551" s="1" t="n">
        <x:v>33.75</x:v>
      </x:c>
      <x:c r="L551" s="1" t="n">
        <x:v>1</x:v>
      </x:c>
      <x:c r="M551" s="1" t="n">
        <x:v>204</x:v>
      </x:c>
      <x:c r="N551" s="1"/>
      <x:c r="O551" s="1"/>
      <x:c r="P551" s="1"/>
      <x:c r="Q551" s="1"/>
    </x:row>
    <x:row r="552" ht="22" customHeight="1">
      <x:c r="A552" s="1" t="str">
        <x:v>O0547</x:v>
      </x:c>
      <x:c r="B552" s="1" t="str">
        <x:v>Simulated Jaipur Engineering College 547</x:v>
      </x:c>
      <x:c r="C552" s="1" t="str">
        <x:v>West</x:v>
      </x:c>
      <x:c r="D552" s="1" t="str">
        <x:v>Prospect Identified</x:v>
      </x:c>
      <x:c r="E552" s="1" t="str">
        <x:v>Open</x:v>
      </x:c>
      <x:c r="F552" s="7" t="n">
        <x:v>286000</x:v>
      </x:c>
      <x:c r="G552" s="8" t="d">
        <x:v>2026-09-23T00:00:00.000Z</x:v>
      </x:c>
      <x:c r="H552" s="8" t="d">
        <x:v>2027-02-13T00:00:00.000Z</x:v>
      </x:c>
      <x:c r="I552" s="8"/>
      <x:c r="J552" s="7" t="n">
        <x:v>0</x:v>
      </x:c>
      <x:c r="K552" s="1" t="n">
        <x:v>50.52</x:v>
      </x:c>
      <x:c r="L552" s="1" t="n">
        <x:v>0</x:v>
      </x:c>
      <x:c r="M552" s="1" t="n">
        <x:v>7</x:v>
      </x:c>
      <x:c r="N552" s="1"/>
      <x:c r="O552" s="1"/>
      <x:c r="P552" s="1"/>
      <x:c r="Q552" s="1"/>
    </x:row>
    <x:row r="553" ht="22" customHeight="1">
      <x:c r="A553" s="1" t="str">
        <x:v>O0548</x:v>
      </x:c>
      <x:c r="B553" s="1" t="str">
        <x:v>Simulated Bengaluru Arts and Science College 548</x:v>
      </x:c>
      <x:c r="C553" s="1" t="str">
        <x:v>South</x:v>
      </x:c>
      <x:c r="D553" s="1" t="str">
        <x:v>Prospect Identified</x:v>
      </x:c>
      <x:c r="E553" s="1" t="str">
        <x:v>Open</x:v>
      </x:c>
      <x:c r="F553" s="7" t="n">
        <x:v>317000</x:v>
      </x:c>
      <x:c r="G553" s="8" t="d">
        <x:v>2026-09-24T00:00:00.000Z</x:v>
      </x:c>
      <x:c r="H553" s="8" t="d">
        <x:v>2027-01-15T00:00:00.000Z</x:v>
      </x:c>
      <x:c r="I553" s="8"/>
      <x:c r="J553" s="7" t="n">
        <x:v>0</x:v>
      </x:c>
      <x:c r="K553" s="1" t="n">
        <x:v>57.09</x:v>
      </x:c>
      <x:c r="L553" s="1" t="n">
        <x:v>0</x:v>
      </x:c>
      <x:c r="M553" s="1" t="n">
        <x:v>6</x:v>
      </x:c>
      <x:c r="N553" s="1"/>
      <x:c r="O553" s="1"/>
      <x:c r="P553" s="1"/>
      <x:c r="Q553" s="1"/>
    </x:row>
    <x:row r="554" ht="22" customHeight="1">
      <x:c r="A554" s="1" t="str">
        <x:v>O0549</x:v>
      </x:c>
      <x:c r="B554" s="1" t="str">
        <x:v>Simulated Chennai Engineering College 549</x:v>
      </x:c>
      <x:c r="C554" s="1" t="str">
        <x:v>South</x:v>
      </x:c>
      <x:c r="D554" s="1" t="str">
        <x:v>Meeting Scheduled</x:v>
      </x:c>
      <x:c r="E554" s="1" t="str">
        <x:v>Open</x:v>
      </x:c>
      <x:c r="F554" s="7" t="n">
        <x:v>274000</x:v>
      </x:c>
      <x:c r="G554" s="8" t="d">
        <x:v>2026-03-04T00:00:00.000Z</x:v>
      </x:c>
      <x:c r="H554" s="8" t="d">
        <x:v>2026-06-13T00:00:00.000Z</x:v>
      </x:c>
      <x:c r="I554" s="8"/>
      <x:c r="J554" s="7" t="n">
        <x:v>0</x:v>
      </x:c>
      <x:c r="K554" s="1" t="n">
        <x:v>56.71</x:v>
      </x:c>
      <x:c r="L554" s="1" t="n">
        <x:v>0</x:v>
      </x:c>
      <x:c r="M554" s="1" t="n">
        <x:v>168</x:v>
      </x:c>
      <x:c r="N554" s="1"/>
      <x:c r="O554" s="1"/>
      <x:c r="P554" s="1"/>
      <x:c r="Q554" s="1"/>
    </x:row>
    <x:row r="555" ht="22" customHeight="1">
      <x:c r="A555" s="1" t="str">
        <x:v>O0550</x:v>
      </x:c>
      <x:c r="B555" s="1" t="str">
        <x:v>Simulated Hyderabad Management Institute 550</x:v>
      </x:c>
      <x:c r="C555" s="1" t="str">
        <x:v>South</x:v>
      </x:c>
      <x:c r="D555" s="1" t="str">
        <x:v>Proposal Sent</x:v>
      </x:c>
      <x:c r="E555" s="1" t="str">
        <x:v>Open</x:v>
      </x:c>
      <x:c r="F555" s="7" t="n">
        <x:v>253000</x:v>
      </x:c>
      <x:c r="G555" s="8" t="d">
        <x:v>2026-04-15T00:00:00.000Z</x:v>
      </x:c>
      <x:c r="H555" s="8" t="d">
        <x:v>2026-07-05T00:00:00.000Z</x:v>
      </x:c>
      <x:c r="I555" s="8"/>
      <x:c r="J555" s="7" t="n">
        <x:v>0</x:v>
      </x:c>
      <x:c r="K555" s="1" t="n">
        <x:v>56.67</x:v>
      </x:c>
      <x:c r="L555" s="1" t="n">
        <x:v>0</x:v>
      </x:c>
      <x:c r="M555" s="1" t="n">
        <x:v>86</x:v>
      </x:c>
      <x:c r="N555" s="1"/>
      <x:c r="O555" s="1"/>
      <x:c r="P555" s="1"/>
      <x:c r="Q555" s="1"/>
    </x:row>
    <x:row r="556" ht="22" customHeight="1">
      <x:c r="A556" s="1" t="str">
        <x:v>O0551</x:v>
      </x:c>
      <x:c r="B556" s="1" t="str">
        <x:v>Simulated Kolkata University 551</x:v>
      </x:c>
      <x:c r="C556" s="1" t="str">
        <x:v>East</x:v>
      </x:c>
      <x:c r="D556" s="1" t="str">
        <x:v>Prospect Identified</x:v>
      </x:c>
      <x:c r="E556" s="1" t="str">
        <x:v>Open</x:v>
      </x:c>
      <x:c r="F556" s="7" t="n">
        <x:v>127000</x:v>
      </x:c>
      <x:c r="G556" s="8" t="d">
        <x:v>2026-02-08T00:00:00.000Z</x:v>
      </x:c>
      <x:c r="H556" s="8" t="d">
        <x:v>2026-05-10T00:00:00.000Z</x:v>
      </x:c>
      <x:c r="I556" s="8"/>
      <x:c r="J556" s="7" t="n">
        <x:v>0</x:v>
      </x:c>
      <x:c r="K556" s="1" t="n">
        <x:v>39.63</x:v>
      </x:c>
      <x:c r="L556" s="1" t="n">
        <x:v>0</x:v>
      </x:c>
      <x:c r="M556" s="1" t="n">
        <x:v>234</x:v>
      </x:c>
      <x:c r="N556" s="1"/>
      <x:c r="O556" s="1"/>
      <x:c r="P556" s="1"/>
      <x:c r="Q556" s="1"/>
    </x:row>
    <x:row r="557" ht="22" customHeight="1">
      <x:c r="A557" s="1" t="str">
        <x:v>O0552</x:v>
      </x:c>
      <x:c r="B557" s="1" t="str">
        <x:v>Simulated Bhubaneswar Engineering College 552</x:v>
      </x:c>
      <x:c r="C557" s="1" t="str">
        <x:v>East</x:v>
      </x:c>
      <x:c r="D557" s="1" t="str">
        <x:v>Closed Lost</x:v>
      </x:c>
      <x:c r="E557" s="1" t="str">
        <x:v>Lost</x:v>
      </x:c>
      <x:c r="F557" s="7" t="n">
        <x:v>148000</x:v>
      </x:c>
      <x:c r="G557" s="8" t="d">
        <x:v>2026-04-07T00:00:00.000Z</x:v>
      </x:c>
      <x:c r="H557" s="8" t="d">
        <x:v>2026-08-21T00:00:00.000Z</x:v>
      </x:c>
      <x:c r="I557" s="8" t="d">
        <x:v>2026-06-02T00:00:00.000Z</x:v>
      </x:c>
      <x:c r="J557" s="7" t="n">
        <x:v>0</x:v>
      </x:c>
      <x:c r="K557" s="1" t="n">
        <x:v>0</x:v>
      </x:c>
      <x:c r="L557" s="1" t="n">
        <x:v>0</x:v>
      </x:c>
      <x:c r="M557" s="1" t="n">
        <x:v>120</x:v>
      </x:c>
      <x:c r="N557" s="1"/>
      <x:c r="O557" s="1"/>
      <x:c r="P557" s="1"/>
      <x:c r="Q557" s="1"/>
    </x:row>
    <x:row r="558" ht="22" customHeight="1">
      <x:c r="A558" s="1" t="str">
        <x:v>O0553</x:v>
      </x:c>
      <x:c r="B558" s="1" t="str">
        <x:v>Simulated Patna Management Institute 553</x:v>
      </x:c>
      <x:c r="C558" s="1" t="str">
        <x:v>East</x:v>
      </x:c>
      <x:c r="D558" s="1" t="str">
        <x:v>Prospect Identified</x:v>
      </x:c>
      <x:c r="E558" s="1" t="str">
        <x:v>Open</x:v>
      </x:c>
      <x:c r="F558" s="7" t="n">
        <x:v>370000</x:v>
      </x:c>
      <x:c r="G558" s="8" t="d">
        <x:v>2026-06-26T00:00:00.000Z</x:v>
      </x:c>
      <x:c r="H558" s="8" t="d">
        <x:v>2026-09-26T00:00:00.000Z</x:v>
      </x:c>
      <x:c r="I558" s="8"/>
      <x:c r="J558" s="7" t="n">
        <x:v>0</x:v>
      </x:c>
      <x:c r="K558" s="1" t="n">
        <x:v>39.65</x:v>
      </x:c>
      <x:c r="L558" s="1" t="n">
        <x:v>1</x:v>
      </x:c>
      <x:c r="M558" s="1" t="n">
        <x:v>96</x:v>
      </x:c>
      <x:c r="N558" s="1"/>
      <x:c r="O558" s="1"/>
      <x:c r="P558" s="1"/>
      <x:c r="Q558" s="1"/>
    </x:row>
    <x:row r="559" ht="22" customHeight="1">
      <x:c r="A559" s="1" t="str">
        <x:v>O0554</x:v>
      </x:c>
      <x:c r="B559" s="1" t="str">
        <x:v>Simulated Guwahati Arts and Science College 554</x:v>
      </x:c>
      <x:c r="C559" s="1" t="str">
        <x:v>Northeast</x:v>
      </x:c>
      <x:c r="D559" s="1" t="str">
        <x:v>Closed Lost</x:v>
      </x:c>
      <x:c r="E559" s="1" t="str">
        <x:v>Lost</x:v>
      </x:c>
      <x:c r="F559" s="7" t="n">
        <x:v>278000</x:v>
      </x:c>
      <x:c r="G559" s="8" t="d">
        <x:v>2026-08-25T00:00:00.000Z</x:v>
      </x:c>
      <x:c r="H559" s="8" t="d">
        <x:v>2027-01-16T00:00:00.000Z</x:v>
      </x:c>
      <x:c r="I559" s="8" t="d">
        <x:v>2026-09-24T00:00:00.000Z</x:v>
      </x:c>
      <x:c r="J559" s="7" t="n">
        <x:v>0</x:v>
      </x:c>
      <x:c r="K559" s="1" t="n">
        <x:v>0</x:v>
      </x:c>
      <x:c r="L559" s="1" t="n">
        <x:v>0</x:v>
      </x:c>
      <x:c r="M559" s="1" t="n">
        <x:v>6</x:v>
      </x:c>
      <x:c r="N559" s="1"/>
      <x:c r="O559" s="1"/>
      <x:c r="P559" s="1"/>
      <x:c r="Q559" s="1"/>
    </x:row>
    <x:row r="560" ht="22" customHeight="1">
      <x:c r="A560" s="1" t="str">
        <x:v>O0555</x:v>
      </x:c>
      <x:c r="B560" s="1" t="str">
        <x:v>Simulated Indore Management Institute 555</x:v>
      </x:c>
      <x:c r="C560" s="1" t="str">
        <x:v>Central</x:v>
      </x:c>
      <x:c r="D560" s="1" t="str">
        <x:v>Prospect Identified</x:v>
      </x:c>
      <x:c r="E560" s="1" t="str">
        <x:v>Open</x:v>
      </x:c>
      <x:c r="F560" s="7" t="n">
        <x:v>398000</x:v>
      </x:c>
      <x:c r="G560" s="8" t="d">
        <x:v>2026-08-18T00:00:00.000Z</x:v>
      </x:c>
      <x:c r="H560" s="8" t="d">
        <x:v>2026-12-23T00:00:00.000Z</x:v>
      </x:c>
      <x:c r="I560" s="8"/>
      <x:c r="J560" s="7" t="n">
        <x:v>0</x:v>
      </x:c>
      <x:c r="K560" s="1" t="n">
        <x:v>50.98</x:v>
      </x:c>
      <x:c r="L560" s="1" t="n">
        <x:v>0</x:v>
      </x:c>
      <x:c r="M560" s="1" t="n">
        <x:v>43</x:v>
      </x:c>
      <x:c r="N560" s="1"/>
      <x:c r="O560" s="1"/>
      <x:c r="P560" s="1"/>
      <x:c r="Q560" s="1"/>
    </x:row>
    <x:row r="561" ht="22" customHeight="1">
      <x:c r="A561" s="1" t="str">
        <x:v>O0556</x:v>
      </x:c>
      <x:c r="B561" s="1" t="str">
        <x:v>Simulated New Delhi University 556</x:v>
      </x:c>
      <x:c r="C561" s="1" t="str">
        <x:v>North</x:v>
      </x:c>
      <x:c r="D561" s="1" t="str">
        <x:v>Closed Lost</x:v>
      </x:c>
      <x:c r="E561" s="1" t="str">
        <x:v>Lost</x:v>
      </x:c>
      <x:c r="F561" s="7" t="n">
        <x:v>687000</x:v>
      </x:c>
      <x:c r="G561" s="8" t="d">
        <x:v>2026-06-03T00:00:00.000Z</x:v>
      </x:c>
      <x:c r="H561" s="8" t="d">
        <x:v>2026-09-28T00:00:00.000Z</x:v>
      </x:c>
      <x:c r="I561" s="8" t="d">
        <x:v>2026-06-30T00:00:00.000Z</x:v>
      </x:c>
      <x:c r="J561" s="7" t="n">
        <x:v>0</x:v>
      </x:c>
      <x:c r="K561" s="1" t="n">
        <x:v>0</x:v>
      </x:c>
      <x:c r="L561" s="1" t="n">
        <x:v>0</x:v>
      </x:c>
      <x:c r="M561" s="1" t="n">
        <x:v>92</x:v>
      </x:c>
      <x:c r="N561" s="1"/>
      <x:c r="O561" s="1"/>
      <x:c r="P561" s="1"/>
      <x:c r="Q561" s="1"/>
    </x:row>
    <x:row r="562" ht="22" customHeight="1">
      <x:c r="A562" s="1" t="str">
        <x:v>O0557</x:v>
      </x:c>
      <x:c r="B562" s="1" t="str">
        <x:v>Simulated Noida Management Institute 557</x:v>
      </x:c>
      <x:c r="C562" s="1" t="str">
        <x:v>North</x:v>
      </x:c>
      <x:c r="D562" s="1" t="str">
        <x:v>Closed Won</x:v>
      </x:c>
      <x:c r="E562" s="1" t="str">
        <x:v>Won</x:v>
      </x:c>
      <x:c r="F562" s="7" t="n">
        <x:v>301000</x:v>
      </x:c>
      <x:c r="G562" s="8" t="d">
        <x:v>2026-03-13T00:00:00.000Z</x:v>
      </x:c>
      <x:c r="H562" s="8" t="d">
        <x:v>2026-06-27T00:00:00.000Z</x:v>
      </x:c>
      <x:c r="I562" s="8" t="d">
        <x:v>2026-07-18T00:00:00.000Z</x:v>
      </x:c>
      <x:c r="J562" s="7" t="n">
        <x:v>61849.32</x:v>
      </x:c>
      <x:c r="K562" s="1" t="n">
        <x:v>0</x:v>
      </x:c>
      <x:c r="L562" s="1" t="n">
        <x:v>0</x:v>
      </x:c>
      <x:c r="M562" s="1" t="n">
        <x:v>74</x:v>
      </x:c>
      <x:c r="N562" s="1"/>
      <x:c r="O562" s="1"/>
      <x:c r="P562" s="1"/>
      <x:c r="Q562" s="1"/>
    </x:row>
    <x:row r="563" ht="22" customHeight="1">
      <x:c r="A563" s="1" t="str">
        <x:v>O0558</x:v>
      </x:c>
      <x:c r="B563" s="1" t="str">
        <x:v>Simulated Gurugram Management Institute 558</x:v>
      </x:c>
      <x:c r="C563" s="1" t="str">
        <x:v>North</x:v>
      </x:c>
      <x:c r="D563" s="1" t="str">
        <x:v>Meeting Scheduled</x:v>
      </x:c>
      <x:c r="E563" s="1" t="str">
        <x:v>Open</x:v>
      </x:c>
      <x:c r="F563" s="7" t="n">
        <x:v>261000</x:v>
      </x:c>
      <x:c r="G563" s="8" t="d">
        <x:v>2025-10-06T00:00:00.000Z</x:v>
      </x:c>
      <x:c r="H563" s="8" t="d">
        <x:v>2026-01-29T00:00:00.000Z</x:v>
      </x:c>
      <x:c r="I563" s="8"/>
      <x:c r="J563" s="7" t="n">
        <x:v>0</x:v>
      </x:c>
      <x:c r="K563" s="1" t="n">
        <x:v>56.76</x:v>
      </x:c>
      <x:c r="L563" s="1" t="n">
        <x:v>0</x:v>
      </x:c>
      <x:c r="M563" s="1" t="n">
        <x:v>310</x:v>
      </x:c>
      <x:c r="N563" s="1"/>
      <x:c r="O563" s="1"/>
      <x:c r="P563" s="1"/>
      <x:c r="Q563" s="1"/>
    </x:row>
    <x:row r="564" ht="22" customHeight="1">
      <x:c r="A564" s="1" t="str">
        <x:v>O0559</x:v>
      </x:c>
      <x:c r="B564" s="1" t="str">
        <x:v>Simulated Ludhiana University 559</x:v>
      </x:c>
      <x:c r="C564" s="1" t="str">
        <x:v>North</x:v>
      </x:c>
      <x:c r="D564" s="1" t="str">
        <x:v>Qualified</x:v>
      </x:c>
      <x:c r="E564" s="1" t="str">
        <x:v>Open</x:v>
      </x:c>
      <x:c r="F564" s="7" t="n">
        <x:v>985000</x:v>
      </x:c>
      <x:c r="G564" s="8" t="d">
        <x:v>2025-10-12T00:00:00.000Z</x:v>
      </x:c>
      <x:c r="H564" s="8" t="d">
        <x:v>2026-01-09T00:00:00.000Z</x:v>
      </x:c>
      <x:c r="I564" s="8"/>
      <x:c r="J564" s="7" t="n">
        <x:v>0</x:v>
      </x:c>
      <x:c r="K564" s="1" t="n">
        <x:v>75.54</x:v>
      </x:c>
      <x:c r="L564" s="1" t="n">
        <x:v>1</x:v>
      </x:c>
      <x:c r="M564" s="1" t="n">
        <x:v>345</x:v>
      </x:c>
      <x:c r="N564" s="1"/>
      <x:c r="O564" s="1"/>
      <x:c r="P564" s="1"/>
      <x:c r="Q564" s="1"/>
    </x:row>
    <x:row r="565" ht="22" customHeight="1">
      <x:c r="A565" s="1" t="str">
        <x:v>O0560</x:v>
      </x:c>
      <x:c r="B565" s="1" t="str">
        <x:v>Simulated Pune Engineering College 560</x:v>
      </x:c>
      <x:c r="C565" s="1" t="str">
        <x:v>West</x:v>
      </x:c>
      <x:c r="D565" s="1" t="str">
        <x:v>Qualified</x:v>
      </x:c>
      <x:c r="E565" s="1" t="str">
        <x:v>Open</x:v>
      </x:c>
      <x:c r="F565" s="7" t="n">
        <x:v>277000</x:v>
      </x:c>
      <x:c r="G565" s="8" t="d">
        <x:v>2026-08-23T00:00:00.000Z</x:v>
      </x:c>
      <x:c r="H565" s="8" t="d">
        <x:v>2026-11-24T00:00:00.000Z</x:v>
      </x:c>
      <x:c r="I565" s="8"/>
      <x:c r="J565" s="7" t="n">
        <x:v>0</x:v>
      </x:c>
      <x:c r="K565" s="1" t="n">
        <x:v>43.59</x:v>
      </x:c>
      <x:c r="L565" s="1" t="n">
        <x:v>0</x:v>
      </x:c>
      <x:c r="M565" s="1" t="n">
        <x:v>20</x:v>
      </x:c>
      <x:c r="N565" s="1"/>
      <x:c r="O565" s="1"/>
      <x:c r="P565" s="1"/>
      <x:c r="Q565" s="1"/>
    </x:row>
    <x:row r="566" ht="22" customHeight="1">
      <x:c r="A566" s="1" t="str">
        <x:v>O0561</x:v>
      </x:c>
      <x:c r="B566" s="1" t="str">
        <x:v>Simulated Ahmedabad Management Institute 561</x:v>
      </x:c>
      <x:c r="C566" s="1" t="str">
        <x:v>West</x:v>
      </x:c>
      <x:c r="D566" s="1" t="str">
        <x:v>Qualified</x:v>
      </x:c>
      <x:c r="E566" s="1" t="str">
        <x:v>Open</x:v>
      </x:c>
      <x:c r="F566" s="7" t="n">
        <x:v>312000</x:v>
      </x:c>
      <x:c r="G566" s="8" t="d">
        <x:v>2026-09-23T00:00:00.000Z</x:v>
      </x:c>
      <x:c r="H566" s="8" t="d">
        <x:v>2026-12-23T00:00:00.000Z</x:v>
      </x:c>
      <x:c r="I566" s="8"/>
      <x:c r="J566" s="7" t="n">
        <x:v>0</x:v>
      </x:c>
      <x:c r="K566" s="1" t="n">
        <x:v>58.22</x:v>
      </x:c>
      <x:c r="L566" s="1" t="n">
        <x:v>0</x:v>
      </x:c>
      <x:c r="M566" s="1" t="n">
        <x:v>1</x:v>
      </x:c>
      <x:c r="N566" s="1"/>
      <x:c r="O566" s="1"/>
      <x:c r="P566" s="1"/>
      <x:c r="Q566" s="1"/>
    </x:row>
    <x:row r="567" ht="22" customHeight="1">
      <x:c r="A567" s="1" t="str">
        <x:v>O0562</x:v>
      </x:c>
      <x:c r="B567" s="1" t="str">
        <x:v>Simulated Jaipur Arts and Science College 562</x:v>
      </x:c>
      <x:c r="C567" s="1" t="str">
        <x:v>West</x:v>
      </x:c>
      <x:c r="D567" s="1" t="str">
        <x:v>Closed Lost</x:v>
      </x:c>
      <x:c r="E567" s="1" t="str">
        <x:v>Lost</x:v>
      </x:c>
      <x:c r="F567" s="7" t="n">
        <x:v>148000</x:v>
      </x:c>
      <x:c r="G567" s="8" t="d">
        <x:v>2026-01-16T00:00:00.000Z</x:v>
      </x:c>
      <x:c r="H567" s="8" t="d">
        <x:v>2026-05-04T00:00:00.000Z</x:v>
      </x:c>
      <x:c r="I567" s="8" t="d">
        <x:v>2026-03-29T00:00:00.000Z</x:v>
      </x:c>
      <x:c r="J567" s="7" t="n">
        <x:v>0</x:v>
      </x:c>
      <x:c r="K567" s="1" t="n">
        <x:v>0</x:v>
      </x:c>
      <x:c r="L567" s="1" t="n">
        <x:v>0</x:v>
      </x:c>
      <x:c r="M567" s="1" t="n">
        <x:v>185</x:v>
      </x:c>
      <x:c r="N567" s="1"/>
      <x:c r="O567" s="1"/>
      <x:c r="P567" s="1"/>
      <x:c r="Q567" s="1"/>
    </x:row>
    <x:row r="568" ht="22" customHeight="1">
      <x:c r="A568" s="1" t="str">
        <x:v>O0563</x:v>
      </x:c>
      <x:c r="B568" s="1" t="str">
        <x:v>Simulated Bengaluru Arts and Science College 563</x:v>
      </x:c>
      <x:c r="C568" s="1" t="str">
        <x:v>South</x:v>
      </x:c>
      <x:c r="D568" s="1" t="str">
        <x:v>Closed Won</x:v>
      </x:c>
      <x:c r="E568" s="1" t="str">
        <x:v>Won</x:v>
      </x:c>
      <x:c r="F568" s="7" t="n">
        <x:v>127000</x:v>
      </x:c>
      <x:c r="G568" s="8" t="d">
        <x:v>2025-12-11T00:00:00.000Z</x:v>
      </x:c>
      <x:c r="H568" s="8" t="d">
        <x:v>2026-03-28T00:00:00.000Z</x:v>
      </x:c>
      <x:c r="I568" s="8" t="d">
        <x:v>2026-02-27T00:00:00.000Z</x:v>
      </x:c>
      <x:c r="J568" s="7" t="n">
        <x:v>75156.16</x:v>
      </x:c>
      <x:c r="K568" s="1" t="n">
        <x:v>0</x:v>
      </x:c>
      <x:c r="L568" s="1" t="n">
        <x:v>0</x:v>
      </x:c>
      <x:c r="M568" s="1" t="n">
        <x:v>215</x:v>
      </x:c>
      <x:c r="N568" s="1"/>
      <x:c r="O568" s="1"/>
      <x:c r="P568" s="1"/>
      <x:c r="Q568" s="1"/>
    </x:row>
    <x:row r="569" ht="22" customHeight="1">
      <x:c r="A569" s="1" t="str">
        <x:v>O0564</x:v>
      </x:c>
      <x:c r="B569" s="1" t="str">
        <x:v>Simulated Chennai Management Institute 564</x:v>
      </x:c>
      <x:c r="C569" s="1" t="str">
        <x:v>South</x:v>
      </x:c>
      <x:c r="D569" s="1" t="str">
        <x:v>Proposal Sent</x:v>
      </x:c>
      <x:c r="E569" s="1" t="str">
        <x:v>Open</x:v>
      </x:c>
      <x:c r="F569" s="7" t="n">
        <x:v>261000</x:v>
      </x:c>
      <x:c r="G569" s="8" t="d">
        <x:v>2025-10-30T00:00:00.000Z</x:v>
      </x:c>
      <x:c r="H569" s="8" t="d">
        <x:v>2026-02-23T00:00:00.000Z</x:v>
      </x:c>
      <x:c r="I569" s="8"/>
      <x:c r="J569" s="7" t="n">
        <x:v>0</x:v>
      </x:c>
      <x:c r="K569" s="1" t="n">
        <x:v>45.73</x:v>
      </x:c>
      <x:c r="L569" s="1" t="n">
        <x:v>1</x:v>
      </x:c>
      <x:c r="M569" s="1" t="n">
        <x:v>261</x:v>
      </x:c>
      <x:c r="N569" s="1"/>
      <x:c r="O569" s="1"/>
      <x:c r="P569" s="1"/>
      <x:c r="Q569" s="1"/>
    </x:row>
    <x:row r="570" ht="22" customHeight="1">
      <x:c r="A570" s="1" t="str">
        <x:v>O0565</x:v>
      </x:c>
      <x:c r="B570" s="1" t="str">
        <x:v>Simulated Hyderabad University 565</x:v>
      </x:c>
      <x:c r="C570" s="1" t="str">
        <x:v>South</x:v>
      </x:c>
      <x:c r="D570" s="1" t="str">
        <x:v>Closed Lost</x:v>
      </x:c>
      <x:c r="E570" s="1" t="str">
        <x:v>Lost</x:v>
      </x:c>
      <x:c r="F570" s="7" t="n">
        <x:v>374000</x:v>
      </x:c>
      <x:c r="G570" s="8" t="d">
        <x:v>2025-11-10T00:00:00.000Z</x:v>
      </x:c>
      <x:c r="H570" s="8" t="d">
        <x:v>2026-02-19T00:00:00.000Z</x:v>
      </x:c>
      <x:c r="I570" s="8" t="d">
        <x:v>2026-03-25T00:00:00.000Z</x:v>
      </x:c>
      <x:c r="J570" s="7" t="n">
        <x:v>0</x:v>
      </x:c>
      <x:c r="K570" s="1" t="n">
        <x:v>0</x:v>
      </x:c>
      <x:c r="L570" s="1" t="n">
        <x:v>0</x:v>
      </x:c>
      <x:c r="M570" s="1" t="n">
        <x:v>189</x:v>
      </x:c>
      <x:c r="N570" s="1"/>
      <x:c r="O570" s="1"/>
      <x:c r="P570" s="1"/>
      <x:c r="Q570" s="1"/>
    </x:row>
    <x:row r="571" ht="22" customHeight="1">
      <x:c r="A571" s="1" t="str">
        <x:v>O0566</x:v>
      </x:c>
      <x:c r="B571" s="1" t="str">
        <x:v>Simulated Kolkata Management Institute 566</x:v>
      </x:c>
      <x:c r="C571" s="1" t="str">
        <x:v>East</x:v>
      </x:c>
      <x:c r="D571" s="1" t="str">
        <x:v>Initial Contact</x:v>
      </x:c>
      <x:c r="E571" s="1" t="str">
        <x:v>Open</x:v>
      </x:c>
      <x:c r="F571" s="7" t="n">
        <x:v>216000</x:v>
      </x:c>
      <x:c r="G571" s="8" t="d">
        <x:v>2026-08-06T00:00:00.000Z</x:v>
      </x:c>
      <x:c r="H571" s="8" t="d">
        <x:v>2026-12-07T00:00:00.000Z</x:v>
      </x:c>
      <x:c r="I571" s="8"/>
      <x:c r="J571" s="7" t="n">
        <x:v>0</x:v>
      </x:c>
      <x:c r="K571" s="1" t="n">
        <x:v>53.86</x:v>
      </x:c>
      <x:c r="L571" s="1" t="n">
        <x:v>0</x:v>
      </x:c>
      <x:c r="M571" s="1" t="n">
        <x:v>17</x:v>
      </x:c>
      <x:c r="N571" s="1"/>
      <x:c r="O571" s="1"/>
      <x:c r="P571" s="1"/>
      <x:c r="Q571" s="1"/>
    </x:row>
    <x:row r="572" ht="22" customHeight="1">
      <x:c r="A572" s="1" t="str">
        <x:v>O0567</x:v>
      </x:c>
      <x:c r="B572" s="1" t="str">
        <x:v>Simulated Bhubaneswar University 567</x:v>
      </x:c>
      <x:c r="C572" s="1" t="str">
        <x:v>East</x:v>
      </x:c>
      <x:c r="D572" s="1" t="str">
        <x:v>Closed Lost</x:v>
      </x:c>
      <x:c r="E572" s="1" t="str">
        <x:v>Lost</x:v>
      </x:c>
      <x:c r="F572" s="7" t="n">
        <x:v>898000</x:v>
      </x:c>
      <x:c r="G572" s="8" t="d">
        <x:v>2026-04-16T00:00:00.000Z</x:v>
      </x:c>
      <x:c r="H572" s="8" t="d">
        <x:v>2026-07-17T00:00:00.000Z</x:v>
      </x:c>
      <x:c r="I572" s="8" t="d">
        <x:v>2026-06-22T00:00:00.000Z</x:v>
      </x:c>
      <x:c r="J572" s="7" t="n">
        <x:v>0</x:v>
      </x:c>
      <x:c r="K572" s="1" t="n">
        <x:v>0</x:v>
      </x:c>
      <x:c r="L572" s="1" t="n">
        <x:v>0</x:v>
      </x:c>
      <x:c r="M572" s="1" t="n">
        <x:v>100</x:v>
      </x:c>
      <x:c r="N572" s="1"/>
      <x:c r="O572" s="1"/>
      <x:c r="P572" s="1"/>
      <x:c r="Q572" s="1"/>
    </x:row>
    <x:row r="573" ht="22" customHeight="1">
      <x:c r="A573" s="1" t="str">
        <x:v>O0568</x:v>
      </x:c>
      <x:c r="B573" s="1" t="str">
        <x:v>Simulated Patna Engineering College 568</x:v>
      </x:c>
      <x:c r="C573" s="1" t="str">
        <x:v>East</x:v>
      </x:c>
      <x:c r="D573" s="1" t="str">
        <x:v>Proposal Sent</x:v>
      </x:c>
      <x:c r="E573" s="1" t="str">
        <x:v>Open</x:v>
      </x:c>
      <x:c r="F573" s="7" t="n">
        <x:v>191000</x:v>
      </x:c>
      <x:c r="G573" s="8" t="d">
        <x:v>2026-04-26T00:00:00.000Z</x:v>
      </x:c>
      <x:c r="H573" s="8" t="d">
        <x:v>2026-08-09T00:00:00.000Z</x:v>
      </x:c>
      <x:c r="I573" s="8"/>
      <x:c r="J573" s="7" t="n">
        <x:v>0</x:v>
      </x:c>
      <x:c r="K573" s="1" t="n">
        <x:v>53.91</x:v>
      </x:c>
      <x:c r="L573" s="1" t="n">
        <x:v>0</x:v>
      </x:c>
      <x:c r="M573" s="1" t="n">
        <x:v>89</x:v>
      </x:c>
      <x:c r="N573" s="1"/>
      <x:c r="O573" s="1"/>
      <x:c r="P573" s="1"/>
      <x:c r="Q573" s="1"/>
    </x:row>
    <x:row r="574" ht="22" customHeight="1">
      <x:c r="A574" s="1" t="str">
        <x:v>O0569</x:v>
      </x:c>
      <x:c r="B574" s="1" t="str">
        <x:v>Simulated Guwahati Management Institute 569</x:v>
      </x:c>
      <x:c r="C574" s="1" t="str">
        <x:v>Northeast</x:v>
      </x:c>
      <x:c r="D574" s="1" t="str">
        <x:v>Closed Won</x:v>
      </x:c>
      <x:c r="E574" s="1" t="str">
        <x:v>Won</x:v>
      </x:c>
      <x:c r="F574" s="7" t="n">
        <x:v>89000</x:v>
      </x:c>
      <x:c r="G574" s="8" t="d">
        <x:v>2026-05-01T00:00:00.000Z</x:v>
      </x:c>
      <x:c r="H574" s="8" t="d">
        <x:v>2026-09-13T00:00:00.000Z</x:v>
      </x:c>
      <x:c r="I574" s="8" t="d">
        <x:v>2026-09-15T00:00:00.000Z</x:v>
      </x:c>
      <x:c r="J574" s="7" t="n">
        <x:v>3901.37</x:v>
      </x:c>
      <x:c r="K574" s="1" t="n">
        <x:v>0</x:v>
      </x:c>
      <x:c r="L574" s="1" t="n">
        <x:v>0</x:v>
      </x:c>
      <x:c r="M574" s="1" t="n">
        <x:v>15</x:v>
      </x:c>
      <x:c r="N574" s="1"/>
      <x:c r="O574" s="1"/>
      <x:c r="P574" s="1"/>
      <x:c r="Q574" s="1"/>
    </x:row>
    <x:row r="575" ht="22" customHeight="1">
      <x:c r="A575" s="1" t="str">
        <x:v>O0570</x:v>
      </x:c>
      <x:c r="B575" s="1" t="str">
        <x:v>Simulated Indore Arts and Science College 570</x:v>
      </x:c>
      <x:c r="C575" s="1" t="str">
        <x:v>Central</x:v>
      </x:c>
      <x:c r="D575" s="1" t="str">
        <x:v>Closed Lost</x:v>
      </x:c>
      <x:c r="E575" s="1" t="str">
        <x:v>Lost</x:v>
      </x:c>
      <x:c r="F575" s="7" t="n">
        <x:v>215000</x:v>
      </x:c>
      <x:c r="G575" s="8" t="d">
        <x:v>2026-04-08T00:00:00.000Z</x:v>
      </x:c>
      <x:c r="H575" s="8" t="d">
        <x:v>2026-07-04T00:00:00.000Z</x:v>
      </x:c>
      <x:c r="I575" s="8" t="d">
        <x:v>2026-05-11T00:00:00.000Z</x:v>
      </x:c>
      <x:c r="J575" s="7" t="n">
        <x:v>0</x:v>
      </x:c>
      <x:c r="K575" s="1" t="n">
        <x:v>0</x:v>
      </x:c>
      <x:c r="L575" s="1" t="n">
        <x:v>0</x:v>
      </x:c>
      <x:c r="M575" s="1" t="n">
        <x:v>142</x:v>
      </x:c>
      <x:c r="N575" s="1"/>
      <x:c r="O575" s="1"/>
      <x:c r="P575" s="1"/>
      <x:c r="Q575" s="1"/>
    </x:row>
    <x:row r="576" ht="22" customHeight="1">
      <x:c r="A576" s="1" t="str">
        <x:v>O0571</x:v>
      </x:c>
      <x:c r="B576" s="1" t="str">
        <x:v>Simulated New Delhi University 571</x:v>
      </x:c>
      <x:c r="C576" s="1" t="str">
        <x:v>North</x:v>
      </x:c>
      <x:c r="D576" s="1" t="str">
        <x:v>Initial Contact</x:v>
      </x:c>
      <x:c r="E576" s="1" t="str">
        <x:v>Open</x:v>
      </x:c>
      <x:c r="F576" s="7" t="n">
        <x:v>1087000</x:v>
      </x:c>
      <x:c r="G576" s="8" t="d">
        <x:v>2026-01-01T00:00:00.000Z</x:v>
      </x:c>
      <x:c r="H576" s="8" t="d">
        <x:v>2026-04-24T00:00:00.000Z</x:v>
      </x:c>
      <x:c r="I576" s="8"/>
      <x:c r="J576" s="7" t="n">
        <x:v>0</x:v>
      </x:c>
      <x:c r="K576" s="1" t="n">
        <x:v>63.86</x:v>
      </x:c>
      <x:c r="L576" s="1" t="n">
        <x:v>1</x:v>
      </x:c>
      <x:c r="M576" s="1" t="n">
        <x:v>218</x:v>
      </x:c>
      <x:c r="N576" s="1"/>
      <x:c r="O576" s="1"/>
      <x:c r="P576" s="1"/>
      <x:c r="Q576" s="1"/>
    </x:row>
    <x:row r="577" ht="22" customHeight="1">
      <x:c r="A577" s="1" t="str">
        <x:v>O0572</x:v>
      </x:c>
      <x:c r="B577" s="1" t="str">
        <x:v>Simulated Noida University 572</x:v>
      </x:c>
      <x:c r="C577" s="1" t="str">
        <x:v>North</x:v>
      </x:c>
      <x:c r="D577" s="1" t="str">
        <x:v>Prospect Identified</x:v>
      </x:c>
      <x:c r="E577" s="1" t="str">
        <x:v>Open</x:v>
      </x:c>
      <x:c r="F577" s="7" t="n">
        <x:v>355000</x:v>
      </x:c>
      <x:c r="G577" s="8" t="d">
        <x:v>2026-09-20T00:00:00.000Z</x:v>
      </x:c>
      <x:c r="H577" s="8" t="d">
        <x:v>2027-01-31T00:00:00.000Z</x:v>
      </x:c>
      <x:c r="I577" s="8"/>
      <x:c r="J577" s="7" t="n">
        <x:v>0</x:v>
      </x:c>
      <x:c r="K577" s="1" t="n">
        <x:v>54</x:v>
      </x:c>
      <x:c r="L577" s="1" t="n">
        <x:v>0</x:v>
      </x:c>
      <x:c r="M577" s="1" t="n">
        <x:v>10</x:v>
      </x:c>
      <x:c r="N577" s="1"/>
      <x:c r="O577" s="1"/>
      <x:c r="P577" s="1"/>
      <x:c r="Q577" s="1"/>
    </x:row>
    <x:row r="578" ht="22" customHeight="1">
      <x:c r="A578" s="1" t="str">
        <x:v>O0573</x:v>
      </x:c>
      <x:c r="B578" s="1" t="str">
        <x:v>Simulated Gurugram Arts and Science College 573</x:v>
      </x:c>
      <x:c r="C578" s="1" t="str">
        <x:v>North</x:v>
      </x:c>
      <x:c r="D578" s="1" t="str">
        <x:v>Prospect Identified</x:v>
      </x:c>
      <x:c r="E578" s="1" t="str">
        <x:v>Open</x:v>
      </x:c>
      <x:c r="F578" s="7" t="n">
        <x:v>118000</x:v>
      </x:c>
      <x:c r="G578" s="8" t="d">
        <x:v>2026-09-15T00:00:00.000Z</x:v>
      </x:c>
      <x:c r="H578" s="8" t="d">
        <x:v>2027-01-03T00:00:00.000Z</x:v>
      </x:c>
      <x:c r="I578" s="8"/>
      <x:c r="J578" s="7" t="n">
        <x:v>0</x:v>
      </x:c>
      <x:c r="K578" s="1" t="n">
        <x:v>40.43</x:v>
      </x:c>
      <x:c r="L578" s="1" t="n">
        <x:v>0</x:v>
      </x:c>
      <x:c r="M578" s="1" t="n">
        <x:v>15</x:v>
      </x:c>
      <x:c r="N578" s="1"/>
      <x:c r="O578" s="1"/>
      <x:c r="P578" s="1"/>
      <x:c r="Q578" s="1"/>
    </x:row>
    <x:row r="579" ht="22" customHeight="1">
      <x:c r="A579" s="1" t="str">
        <x:v>O0574</x:v>
      </x:c>
      <x:c r="B579" s="1" t="str">
        <x:v>Simulated Ludhiana Management Institute 574</x:v>
      </x:c>
      <x:c r="C579" s="1" t="str">
        <x:v>North</x:v>
      </x:c>
      <x:c r="D579" s="1" t="str">
        <x:v>Qualified</x:v>
      </x:c>
      <x:c r="E579" s="1" t="str">
        <x:v>Open</x:v>
      </x:c>
      <x:c r="F579" s="7" t="n">
        <x:v>161000</x:v>
      </x:c>
      <x:c r="G579" s="8" t="d">
        <x:v>2026-05-02T00:00:00.000Z</x:v>
      </x:c>
      <x:c r="H579" s="8" t="d">
        <x:v>2026-09-29T00:00:00.000Z</x:v>
      </x:c>
      <x:c r="I579" s="8"/>
      <x:c r="J579" s="7" t="n">
        <x:v>0</x:v>
      </x:c>
      <x:c r="K579" s="1" t="n">
        <x:v>44.44</x:v>
      </x:c>
      <x:c r="L579" s="1" t="n">
        <x:v>1</x:v>
      </x:c>
      <x:c r="M579" s="1" t="n">
        <x:v>121</x:v>
      </x:c>
      <x:c r="N579" s="1"/>
      <x:c r="O579" s="1"/>
      <x:c r="P579" s="1"/>
      <x:c r="Q579" s="1"/>
    </x:row>
    <x:row r="580" ht="22" customHeight="1">
      <x:c r="A580" s="1" t="str">
        <x:v>O0575</x:v>
      </x:c>
      <x:c r="B580" s="1" t="str">
        <x:v>Simulated Pune University 575</x:v>
      </x:c>
      <x:c r="C580" s="1" t="str">
        <x:v>West</x:v>
      </x:c>
      <x:c r="D580" s="1" t="str">
        <x:v>Prospect Identified</x:v>
      </x:c>
      <x:c r="E580" s="1" t="str">
        <x:v>Open</x:v>
      </x:c>
      <x:c r="F580" s="7" t="n">
        <x:v>678000</x:v>
      </x:c>
      <x:c r="G580" s="8" t="d">
        <x:v>2026-06-27T00:00:00.000Z</x:v>
      </x:c>
      <x:c r="H580" s="8" t="d">
        <x:v>2026-11-18T00:00:00.000Z</x:v>
      </x:c>
      <x:c r="I580" s="8"/>
      <x:c r="J580" s="7" t="n">
        <x:v>0</x:v>
      </x:c>
      <x:c r="K580" s="1" t="n">
        <x:v>67.17</x:v>
      </x:c>
      <x:c r="L580" s="1" t="n">
        <x:v>1</x:v>
      </x:c>
      <x:c r="M580" s="1" t="n">
        <x:v>95</x:v>
      </x:c>
      <x:c r="N580" s="1"/>
      <x:c r="O580" s="1"/>
      <x:c r="P580" s="1"/>
      <x:c r="Q580" s="1"/>
    </x:row>
    <x:row r="581" ht="22" customHeight="1">
      <x:c r="A581" s="1" t="str">
        <x:v>O0576</x:v>
      </x:c>
      <x:c r="B581" s="1" t="str">
        <x:v>Simulated Ahmedabad Engineering College 576</x:v>
      </x:c>
      <x:c r="C581" s="1" t="str">
        <x:v>West</x:v>
      </x:c>
      <x:c r="D581" s="1" t="str">
        <x:v>Closed Lost</x:v>
      </x:c>
      <x:c r="E581" s="1" t="str">
        <x:v>Lost</x:v>
      </x:c>
      <x:c r="F581" s="7" t="n">
        <x:v>266000</x:v>
      </x:c>
      <x:c r="G581" s="8" t="d">
        <x:v>2026-03-11T00:00:00.000Z</x:v>
      </x:c>
      <x:c r="H581" s="8" t="d">
        <x:v>2026-06-14T00:00:00.000Z</x:v>
      </x:c>
      <x:c r="I581" s="8" t="d">
        <x:v>2026-04-06T00:00:00.000Z</x:v>
      </x:c>
      <x:c r="J581" s="7" t="n">
        <x:v>0</x:v>
      </x:c>
      <x:c r="K581" s="1" t="n">
        <x:v>0</x:v>
      </x:c>
      <x:c r="L581" s="1" t="n">
        <x:v>0</x:v>
      </x:c>
      <x:c r="M581" s="1" t="n">
        <x:v>177</x:v>
      </x:c>
      <x:c r="N581" s="1"/>
      <x:c r="O581" s="1"/>
      <x:c r="P581" s="1"/>
      <x:c r="Q581" s="1"/>
    </x:row>
    <x:row r="582" ht="22" customHeight="1">
      <x:c r="A582" s="1" t="str">
        <x:v>O0577</x:v>
      </x:c>
      <x:c r="B582" s="1" t="str">
        <x:v>Simulated Jaipur Management Institute 577</x:v>
      </x:c>
      <x:c r="C582" s="1" t="str">
        <x:v>West</x:v>
      </x:c>
      <x:c r="D582" s="1" t="str">
        <x:v>Qualified</x:v>
      </x:c>
      <x:c r="E582" s="1" t="str">
        <x:v>Open</x:v>
      </x:c>
      <x:c r="F582" s="7" t="n">
        <x:v>184000</x:v>
      </x:c>
      <x:c r="G582" s="8" t="d">
        <x:v>2026-02-14T00:00:00.000Z</x:v>
      </x:c>
      <x:c r="H582" s="8" t="d">
        <x:v>2026-06-02T00:00:00.000Z</x:v>
      </x:c>
      <x:c r="I582" s="8"/>
      <x:c r="J582" s="7" t="n">
        <x:v>0</x:v>
      </x:c>
      <x:c r="K582" s="1" t="n">
        <x:v>48.88</x:v>
      </x:c>
      <x:c r="L582" s="1" t="n">
        <x:v>1</x:v>
      </x:c>
      <x:c r="M582" s="1" t="n">
        <x:v>216</x:v>
      </x:c>
      <x:c r="N582" s="1"/>
      <x:c r="O582" s="1"/>
      <x:c r="P582" s="1"/>
      <x:c r="Q582" s="1"/>
    </x:row>
    <x:row r="583" ht="22" customHeight="1">
      <x:c r="A583" s="1" t="str">
        <x:v>O0578</x:v>
      </x:c>
      <x:c r="B583" s="1" t="str">
        <x:v>Simulated Bengaluru Management Institute 578</x:v>
      </x:c>
      <x:c r="C583" s="1" t="str">
        <x:v>South</x:v>
      </x:c>
      <x:c r="D583" s="1" t="str">
        <x:v>Proposal Sent</x:v>
      </x:c>
      <x:c r="E583" s="1" t="str">
        <x:v>Open</x:v>
      </x:c>
      <x:c r="F583" s="7" t="n">
        <x:v>293000</x:v>
      </x:c>
      <x:c r="G583" s="8" t="d">
        <x:v>2026-05-12T00:00:00.000Z</x:v>
      </x:c>
      <x:c r="H583" s="8" t="d">
        <x:v>2026-09-07T00:00:00.000Z</x:v>
      </x:c>
      <x:c r="I583" s="8"/>
      <x:c r="J583" s="7" t="n">
        <x:v>0</x:v>
      </x:c>
      <x:c r="K583" s="1" t="n">
        <x:v>52.18</x:v>
      </x:c>
      <x:c r="L583" s="1" t="n">
        <x:v>1</x:v>
      </x:c>
      <x:c r="M583" s="1" t="n">
        <x:v>80</x:v>
      </x:c>
      <x:c r="N583" s="1"/>
      <x:c r="O583" s="1"/>
      <x:c r="P583" s="1"/>
      <x:c r="Q583" s="1"/>
    </x:row>
    <x:row r="584" ht="22" customHeight="1">
      <x:c r="A584" s="1" t="str">
        <x:v>O0579</x:v>
      </x:c>
      <x:c r="B584" s="1" t="str">
        <x:v>Simulated Chennai Management Institute 579</x:v>
      </x:c>
      <x:c r="C584" s="1" t="str">
        <x:v>South</x:v>
      </x:c>
      <x:c r="D584" s="1" t="str">
        <x:v>Closed Lost</x:v>
      </x:c>
      <x:c r="E584" s="1" t="str">
        <x:v>Lost</x:v>
      </x:c>
      <x:c r="F584" s="7" t="n">
        <x:v>215000</x:v>
      </x:c>
      <x:c r="G584" s="8" t="d">
        <x:v>2026-07-14T00:00:00.000Z</x:v>
      </x:c>
      <x:c r="H584" s="8" t="d">
        <x:v>2026-10-12T00:00:00.000Z</x:v>
      </x:c>
      <x:c r="I584" s="8" t="d">
        <x:v>2026-08-07T00:00:00.000Z</x:v>
      </x:c>
      <x:c r="J584" s="7" t="n">
        <x:v>0</x:v>
      </x:c>
      <x:c r="K584" s="1" t="n">
        <x:v>0</x:v>
      </x:c>
      <x:c r="L584" s="1" t="n">
        <x:v>0</x:v>
      </x:c>
      <x:c r="M584" s="1" t="n">
        <x:v>54</x:v>
      </x:c>
      <x:c r="N584" s="1"/>
      <x:c r="O584" s="1"/>
      <x:c r="P584" s="1"/>
      <x:c r="Q584" s="1"/>
    </x:row>
    <x:row r="585" ht="22" customHeight="1">
      <x:c r="A585" s="1" t="str">
        <x:v>O0580</x:v>
      </x:c>
      <x:c r="B585" s="1" t="str">
        <x:v>Simulated Hyderabad Engineering College 580</x:v>
      </x:c>
      <x:c r="C585" s="1" t="str">
        <x:v>South</x:v>
      </x:c>
      <x:c r="D585" s="1" t="str">
        <x:v>Closed Lost</x:v>
      </x:c>
      <x:c r="E585" s="1" t="str">
        <x:v>Lost</x:v>
      </x:c>
      <x:c r="F585" s="7" t="n">
        <x:v>205000</x:v>
      </x:c>
      <x:c r="G585" s="8" t="d">
        <x:v>2026-04-12T00:00:00.000Z</x:v>
      </x:c>
      <x:c r="H585" s="8" t="d">
        <x:v>2026-09-05T00:00:00.000Z</x:v>
      </x:c>
      <x:c r="I585" s="8" t="d">
        <x:v>2026-05-13T00:00:00.000Z</x:v>
      </x:c>
      <x:c r="J585" s="7" t="n">
        <x:v>0</x:v>
      </x:c>
      <x:c r="K585" s="1" t="n">
        <x:v>0</x:v>
      </x:c>
      <x:c r="L585" s="1" t="n">
        <x:v>0</x:v>
      </x:c>
      <x:c r="M585" s="1" t="n">
        <x:v>140</x:v>
      </x:c>
      <x:c r="N585" s="1"/>
      <x:c r="O585" s="1"/>
      <x:c r="P585" s="1"/>
      <x:c r="Q585" s="1"/>
    </x:row>
    <x:row r="586" ht="22" customHeight="1">
      <x:c r="A586" s="1" t="str">
        <x:v>O0581</x:v>
      </x:c>
      <x:c r="B586" s="1" t="str">
        <x:v>Simulated Kolkata Management Institute 581</x:v>
      </x:c>
      <x:c r="C586" s="1" t="str">
        <x:v>East</x:v>
      </x:c>
      <x:c r="D586" s="1" t="str">
        <x:v>Qualified</x:v>
      </x:c>
      <x:c r="E586" s="1" t="str">
        <x:v>Open</x:v>
      </x:c>
      <x:c r="F586" s="7" t="n">
        <x:v>95000</x:v>
      </x:c>
      <x:c r="G586" s="8" t="d">
        <x:v>2026-06-14T00:00:00.000Z</x:v>
      </x:c>
      <x:c r="H586" s="8" t="d">
        <x:v>2026-10-04T00:00:00.000Z</x:v>
      </x:c>
      <x:c r="I586" s="8"/>
      <x:c r="J586" s="7" t="n">
        <x:v>0</x:v>
      </x:c>
      <x:c r="K586" s="1" t="n">
        <x:v>42.28</x:v>
      </x:c>
      <x:c r="L586" s="1" t="n">
        <x:v>0</x:v>
      </x:c>
      <x:c r="M586" s="1" t="n">
        <x:v>78</x:v>
      </x:c>
      <x:c r="N586" s="1"/>
      <x:c r="O586" s="1"/>
      <x:c r="P586" s="1"/>
      <x:c r="Q586" s="1"/>
    </x:row>
    <x:row r="587" ht="22" customHeight="1">
      <x:c r="A587" s="1" t="str">
        <x:v>O0582</x:v>
      </x:c>
      <x:c r="B587" s="1" t="str">
        <x:v>Simulated Bhubaneswar Arts and Science College 582</x:v>
      </x:c>
      <x:c r="C587" s="1" t="str">
        <x:v>East</x:v>
      </x:c>
      <x:c r="D587" s="1" t="str">
        <x:v>Closed Lost</x:v>
      </x:c>
      <x:c r="E587" s="1" t="str">
        <x:v>Lost</x:v>
      </x:c>
      <x:c r="F587" s="7" t="n">
        <x:v>97000</x:v>
      </x:c>
      <x:c r="G587" s="8" t="d">
        <x:v>2025-12-23T00:00:00.000Z</x:v>
      </x:c>
      <x:c r="H587" s="8" t="d">
        <x:v>2026-03-17T00:00:00.000Z</x:v>
      </x:c>
      <x:c r="I587" s="8" t="d">
        <x:v>2026-01-17T00:00:00.000Z</x:v>
      </x:c>
      <x:c r="J587" s="7" t="n">
        <x:v>0</x:v>
      </x:c>
      <x:c r="K587" s="1" t="n">
        <x:v>0</x:v>
      </x:c>
      <x:c r="L587" s="1" t="n">
        <x:v>0</x:v>
      </x:c>
      <x:c r="M587" s="1" t="n">
        <x:v>256</x:v>
      </x:c>
      <x:c r="N587" s="1"/>
      <x:c r="O587" s="1"/>
      <x:c r="P587" s="1"/>
      <x:c r="Q587" s="1"/>
    </x:row>
    <x:row r="588" ht="22" customHeight="1">
      <x:c r="A588" s="1" t="str">
        <x:v>O0583</x:v>
      </x:c>
      <x:c r="B588" s="1" t="str">
        <x:v>Simulated Patna Engineering College 583</x:v>
      </x:c>
      <x:c r="C588" s="1" t="str">
        <x:v>East</x:v>
      </x:c>
      <x:c r="D588" s="1" t="str">
        <x:v>Qualified</x:v>
      </x:c>
      <x:c r="E588" s="1" t="str">
        <x:v>Open</x:v>
      </x:c>
      <x:c r="F588" s="7" t="n">
        <x:v>244000</x:v>
      </x:c>
      <x:c r="G588" s="8" t="d">
        <x:v>2025-10-26T00:00:00.000Z</x:v>
      </x:c>
      <x:c r="H588" s="8" t="d">
        <x:v>2026-02-15T00:00:00.000Z</x:v>
      </x:c>
      <x:c r="I588" s="8"/>
      <x:c r="J588" s="7" t="n">
        <x:v>0</x:v>
      </x:c>
      <x:c r="K588" s="1" t="n">
        <x:v>46.79</x:v>
      </x:c>
      <x:c r="L588" s="1" t="n">
        <x:v>1</x:v>
      </x:c>
      <x:c r="M588" s="1" t="n">
        <x:v>307</x:v>
      </x:c>
      <x:c r="N588" s="1"/>
      <x:c r="O588" s="1"/>
      <x:c r="P588" s="1"/>
      <x:c r="Q588" s="1"/>
    </x:row>
    <x:row r="589" ht="22" customHeight="1">
      <x:c r="A589" s="1" t="str">
        <x:v>O0584</x:v>
      </x:c>
      <x:c r="B589" s="1" t="str">
        <x:v>Simulated Guwahati University 584</x:v>
      </x:c>
      <x:c r="C589" s="1" t="str">
        <x:v>Northeast</x:v>
      </x:c>
      <x:c r="D589" s="1" t="str">
        <x:v>Meeting Scheduled</x:v>
      </x:c>
      <x:c r="E589" s="1" t="str">
        <x:v>Open</x:v>
      </x:c>
      <x:c r="F589" s="7" t="n">
        <x:v>351000</x:v>
      </x:c>
      <x:c r="G589" s="8" t="d">
        <x:v>2026-07-27T00:00:00.000Z</x:v>
      </x:c>
      <x:c r="H589" s="8" t="d">
        <x:v>2026-11-15T00:00:00.000Z</x:v>
      </x:c>
      <x:c r="I589" s="8"/>
      <x:c r="J589" s="7" t="n">
        <x:v>0</x:v>
      </x:c>
      <x:c r="K589" s="1" t="n">
        <x:v>62.69</x:v>
      </x:c>
      <x:c r="L589" s="1" t="n">
        <x:v>0</x:v>
      </x:c>
      <x:c r="M589" s="1" t="n">
        <x:v>10</x:v>
      </x:c>
      <x:c r="N589" s="1"/>
      <x:c r="O589" s="1"/>
      <x:c r="P589" s="1"/>
      <x:c r="Q589" s="1"/>
    </x:row>
    <x:row r="590" ht="22" customHeight="1">
      <x:c r="A590" s="1" t="str">
        <x:v>O0585</x:v>
      </x:c>
      <x:c r="B590" s="1" t="str">
        <x:v>Simulated Indore Management Institute 585</x:v>
      </x:c>
      <x:c r="C590" s="1" t="str">
        <x:v>Central</x:v>
      </x:c>
      <x:c r="D590" s="1" t="str">
        <x:v>Negotiation</x:v>
      </x:c>
      <x:c r="E590" s="1" t="str">
        <x:v>Open</x:v>
      </x:c>
      <x:c r="F590" s="7" t="n">
        <x:v>309000</x:v>
      </x:c>
      <x:c r="G590" s="8" t="d">
        <x:v>2026-03-27T00:00:00.000Z</x:v>
      </x:c>
      <x:c r="H590" s="8" t="d">
        <x:v>2026-08-17T00:00:00.000Z</x:v>
      </x:c>
      <x:c r="I590" s="8"/>
      <x:c r="J590" s="7" t="n">
        <x:v>0</x:v>
      </x:c>
      <x:c r="K590" s="1" t="n">
        <x:v>45.58</x:v>
      </x:c>
      <x:c r="L590" s="1" t="n">
        <x:v>1</x:v>
      </x:c>
      <x:c r="M590" s="1" t="n">
        <x:v>40</x:v>
      </x:c>
      <x:c r="N590" s="1"/>
      <x:c r="O590" s="1"/>
      <x:c r="P590" s="1"/>
      <x:c r="Q590" s="1"/>
    </x:row>
    <x:row r="591" ht="22" customHeight="1">
      <x:c r="A591" s="1" t="str">
        <x:v>O0586</x:v>
      </x:c>
      <x:c r="B591" s="1" t="str">
        <x:v>Simulated New Delhi University 586</x:v>
      </x:c>
      <x:c r="C591" s="1" t="str">
        <x:v>North</x:v>
      </x:c>
      <x:c r="D591" s="1" t="str">
        <x:v>Prospect Identified</x:v>
      </x:c>
      <x:c r="E591" s="1" t="str">
        <x:v>Open</x:v>
      </x:c>
      <x:c r="F591" s="7" t="n">
        <x:v>265000</x:v>
      </x:c>
      <x:c r="G591" s="8" t="d">
        <x:v>2026-07-07T00:00:00.000Z</x:v>
      </x:c>
      <x:c r="H591" s="8" t="d">
        <x:v>2026-10-05T00:00:00.000Z</x:v>
      </x:c>
      <x:c r="I591" s="8"/>
      <x:c r="J591" s="7" t="n">
        <x:v>0</x:v>
      </x:c>
      <x:c r="K591" s="1" t="n">
        <x:v>61.1</x:v>
      </x:c>
      <x:c r="L591" s="1" t="n">
        <x:v>1</x:v>
      </x:c>
      <x:c r="M591" s="1" t="n">
        <x:v>85</x:v>
      </x:c>
      <x:c r="N591" s="1"/>
      <x:c r="O591" s="1"/>
      <x:c r="P591" s="1"/>
      <x:c r="Q591" s="1"/>
    </x:row>
    <x:row r="592" ht="22" customHeight="1">
      <x:c r="A592" s="1" t="str">
        <x:v>O0587</x:v>
      </x:c>
      <x:c r="B592" s="1" t="str">
        <x:v>Simulated Noida Management Institute 587</x:v>
      </x:c>
      <x:c r="C592" s="1" t="str">
        <x:v>North</x:v>
      </x:c>
      <x:c r="D592" s="1" t="str">
        <x:v>Initial Contact</x:v>
      </x:c>
      <x:c r="E592" s="1" t="str">
        <x:v>Open</x:v>
      </x:c>
      <x:c r="F592" s="7" t="n">
        <x:v>128000</x:v>
      </x:c>
      <x:c r="G592" s="8" t="d">
        <x:v>2025-10-18T00:00:00.000Z</x:v>
      </x:c>
      <x:c r="H592" s="8" t="d">
        <x:v>2026-03-16T00:00:00.000Z</x:v>
      </x:c>
      <x:c r="I592" s="8"/>
      <x:c r="J592" s="7" t="n">
        <x:v>0</x:v>
      </x:c>
      <x:c r="K592" s="1" t="n">
        <x:v>33.83</x:v>
      </x:c>
      <x:c r="L592" s="1" t="n">
        <x:v>1</x:v>
      </x:c>
      <x:c r="M592" s="1" t="n">
        <x:v>318</x:v>
      </x:c>
      <x:c r="N592" s="1"/>
      <x:c r="O592" s="1"/>
      <x:c r="P592" s="1"/>
      <x:c r="Q592" s="1"/>
    </x:row>
    <x:row r="593" ht="22" customHeight="1">
      <x:c r="A593" s="1" t="str">
        <x:v>O0588</x:v>
      </x:c>
      <x:c r="B593" s="1" t="str">
        <x:v>Simulated Gurugram Engineering College 588</x:v>
      </x:c>
      <x:c r="C593" s="1" t="str">
        <x:v>North</x:v>
      </x:c>
      <x:c r="D593" s="1" t="str">
        <x:v>Initial Contact</x:v>
      </x:c>
      <x:c r="E593" s="1" t="str">
        <x:v>Open</x:v>
      </x:c>
      <x:c r="F593" s="7" t="n">
        <x:v>148000</x:v>
      </x:c>
      <x:c r="G593" s="8" t="d">
        <x:v>2025-11-06T00:00:00.000Z</x:v>
      </x:c>
      <x:c r="H593" s="8" t="d">
        <x:v>2026-03-13T00:00:00.000Z</x:v>
      </x:c>
      <x:c r="I593" s="8"/>
      <x:c r="J593" s="7" t="n">
        <x:v>0</x:v>
      </x:c>
      <x:c r="K593" s="1" t="n">
        <x:v>42.14</x:v>
      </x:c>
      <x:c r="L593" s="1" t="n">
        <x:v>1</x:v>
      </x:c>
      <x:c r="M593" s="1" t="n">
        <x:v>306</x:v>
      </x:c>
      <x:c r="N593" s="1"/>
      <x:c r="O593" s="1"/>
      <x:c r="P593" s="1"/>
      <x:c r="Q593" s="1"/>
    </x:row>
    <x:row r="594" ht="22" customHeight="1">
      <x:c r="A594" s="1" t="str">
        <x:v>O0589</x:v>
      </x:c>
      <x:c r="B594" s="1" t="str">
        <x:v>Simulated Ludhiana Engineering College 589</x:v>
      </x:c>
      <x:c r="C594" s="1" t="str">
        <x:v>North</x:v>
      </x:c>
      <x:c r="D594" s="1" t="str">
        <x:v>Prospect Identified</x:v>
      </x:c>
      <x:c r="E594" s="1" t="str">
        <x:v>Open</x:v>
      </x:c>
      <x:c r="F594" s="7" t="n">
        <x:v>180000</x:v>
      </x:c>
      <x:c r="G594" s="8" t="d">
        <x:v>2026-09-18T00:00:00.000Z</x:v>
      </x:c>
      <x:c r="H594" s="8" t="d">
        <x:v>2027-01-06T00:00:00.000Z</x:v>
      </x:c>
      <x:c r="I594" s="8"/>
      <x:c r="J594" s="7" t="n">
        <x:v>0</x:v>
      </x:c>
      <x:c r="K594" s="1" t="n">
        <x:v>38.8</x:v>
      </x:c>
      <x:c r="L594" s="1" t="n">
        <x:v>0</x:v>
      </x:c>
      <x:c r="M594" s="1" t="n">
        <x:v>12</x:v>
      </x:c>
      <x:c r="N594" s="1"/>
      <x:c r="O594" s="1"/>
      <x:c r="P594" s="1"/>
      <x:c r="Q594" s="1"/>
    </x:row>
    <x:row r="595" ht="22" customHeight="1">
      <x:c r="A595" s="1" t="str">
        <x:v>O0590</x:v>
      </x:c>
      <x:c r="B595" s="1" t="str">
        <x:v>Simulated Pune Engineering College 590</x:v>
      </x:c>
      <x:c r="C595" s="1" t="str">
        <x:v>West</x:v>
      </x:c>
      <x:c r="D595" s="1" t="str">
        <x:v>Qualified</x:v>
      </x:c>
      <x:c r="E595" s="1" t="str">
        <x:v>Open</x:v>
      </x:c>
      <x:c r="F595" s="7" t="n">
        <x:v>89000</x:v>
      </x:c>
      <x:c r="G595" s="8" t="d">
        <x:v>2026-07-23T00:00:00.000Z</x:v>
      </x:c>
      <x:c r="H595" s="8" t="d">
        <x:v>2026-11-04T00:00:00.000Z</x:v>
      </x:c>
      <x:c r="I595" s="8"/>
      <x:c r="J595" s="7" t="n">
        <x:v>0</x:v>
      </x:c>
      <x:c r="K595" s="1" t="n">
        <x:v>37.11</x:v>
      </x:c>
      <x:c r="L595" s="1" t="n">
        <x:v>0</x:v>
      </x:c>
      <x:c r="M595" s="1" t="n">
        <x:v>53</x:v>
      </x:c>
      <x:c r="N595" s="1"/>
      <x:c r="O595" s="1"/>
      <x:c r="P595" s="1"/>
      <x:c r="Q595" s="1"/>
    </x:row>
    <x:row r="596" ht="22" customHeight="1">
      <x:c r="A596" s="1" t="str">
        <x:v>O0591</x:v>
      </x:c>
      <x:c r="B596" s="1" t="str">
        <x:v>Simulated Ahmedabad Management Institute 591</x:v>
      </x:c>
      <x:c r="C596" s="1" t="str">
        <x:v>West</x:v>
      </x:c>
      <x:c r="D596" s="1" t="str">
        <x:v>Proposal Sent</x:v>
      </x:c>
      <x:c r="E596" s="1" t="str">
        <x:v>Open</x:v>
      </x:c>
      <x:c r="F596" s="7" t="n">
        <x:v>225000</x:v>
      </x:c>
      <x:c r="G596" s="8" t="d">
        <x:v>2026-07-18T00:00:00.000Z</x:v>
      </x:c>
      <x:c r="H596" s="8" t="d">
        <x:v>2026-11-03T00:00:00.000Z</x:v>
      </x:c>
      <x:c r="I596" s="8"/>
      <x:c r="J596" s="7" t="n">
        <x:v>0</x:v>
      </x:c>
      <x:c r="K596" s="1" t="n">
        <x:v>52.14</x:v>
      </x:c>
      <x:c r="L596" s="1" t="n">
        <x:v>1</x:v>
      </x:c>
      <x:c r="M596" s="1" t="n">
        <x:v>24</x:v>
      </x:c>
      <x:c r="N596" s="1"/>
      <x:c r="O596" s="1"/>
      <x:c r="P596" s="1"/>
      <x:c r="Q596" s="1"/>
    </x:row>
    <x:row r="597" ht="22" customHeight="1">
      <x:c r="A597" s="1" t="str">
        <x:v>O0592</x:v>
      </x:c>
      <x:c r="B597" s="1" t="str">
        <x:v>Simulated Jaipur Management Institute 592</x:v>
      </x:c>
      <x:c r="C597" s="1" t="str">
        <x:v>West</x:v>
      </x:c>
      <x:c r="D597" s="1" t="str">
        <x:v>Meeting Scheduled</x:v>
      </x:c>
      <x:c r="E597" s="1" t="str">
        <x:v>Open</x:v>
      </x:c>
      <x:c r="F597" s="7" t="n">
        <x:v>156000</x:v>
      </x:c>
      <x:c r="G597" s="8" t="d">
        <x:v>2026-08-16T00:00:00.000Z</x:v>
      </x:c>
      <x:c r="H597" s="8" t="d">
        <x:v>2026-12-19T00:00:00.000Z</x:v>
      </x:c>
      <x:c r="I597" s="8"/>
      <x:c r="J597" s="7" t="n">
        <x:v>0</x:v>
      </x:c>
      <x:c r="K597" s="1" t="n">
        <x:v>45.85</x:v>
      </x:c>
      <x:c r="L597" s="1" t="n">
        <x:v>1</x:v>
      </x:c>
      <x:c r="M597" s="1" t="n">
        <x:v>7</x:v>
      </x:c>
      <x:c r="N597" s="1"/>
      <x:c r="O597" s="1"/>
      <x:c r="P597" s="1"/>
      <x:c r="Q597" s="1"/>
    </x:row>
    <x:row r="598" ht="22" customHeight="1">
      <x:c r="A598" s="1" t="str">
        <x:v>O0593</x:v>
      </x:c>
      <x:c r="B598" s="1" t="str">
        <x:v>Simulated Bengaluru Engineering College 593</x:v>
      </x:c>
      <x:c r="C598" s="1" t="str">
        <x:v>South</x:v>
      </x:c>
      <x:c r="D598" s="1" t="str">
        <x:v>Prospect Identified</x:v>
      </x:c>
      <x:c r="E598" s="1" t="str">
        <x:v>Open</x:v>
      </x:c>
      <x:c r="F598" s="7" t="n">
        <x:v>231000</x:v>
      </x:c>
      <x:c r="G598" s="8" t="d">
        <x:v>2026-01-26T00:00:00.000Z</x:v>
      </x:c>
      <x:c r="H598" s="8" t="d">
        <x:v>2026-05-20T00:00:00.000Z</x:v>
      </x:c>
      <x:c r="I598" s="8"/>
      <x:c r="J598" s="7" t="n">
        <x:v>0</x:v>
      </x:c>
      <x:c r="K598" s="1" t="n">
        <x:v>53.8</x:v>
      </x:c>
      <x:c r="L598" s="1" t="n">
        <x:v>1</x:v>
      </x:c>
      <x:c r="M598" s="1" t="n">
        <x:v>247</x:v>
      </x:c>
      <x:c r="N598" s="1"/>
      <x:c r="O598" s="1"/>
      <x:c r="P598" s="1"/>
      <x:c r="Q598" s="1"/>
    </x:row>
    <x:row r="599" ht="22" customHeight="1">
      <x:c r="A599" s="1" t="str">
        <x:v>O0594</x:v>
      </x:c>
      <x:c r="B599" s="1" t="str">
        <x:v>Simulated Chennai Management Institute 594</x:v>
      </x:c>
      <x:c r="C599" s="1" t="str">
        <x:v>South</x:v>
      </x:c>
      <x:c r="D599" s="1" t="str">
        <x:v>Closed Lost</x:v>
      </x:c>
      <x:c r="E599" s="1" t="str">
        <x:v>Lost</x:v>
      </x:c>
      <x:c r="F599" s="7" t="n">
        <x:v>390000</x:v>
      </x:c>
      <x:c r="G599" s="8" t="d">
        <x:v>2025-10-26T00:00:00.000Z</x:v>
      </x:c>
      <x:c r="H599" s="8" t="d">
        <x:v>2026-02-04T00:00:00.000Z</x:v>
      </x:c>
      <x:c r="I599" s="8" t="d">
        <x:v>2026-01-26T00:00:00.000Z</x:v>
      </x:c>
      <x:c r="J599" s="7" t="n">
        <x:v>0</x:v>
      </x:c>
      <x:c r="K599" s="1" t="n">
        <x:v>0</x:v>
      </x:c>
      <x:c r="L599" s="1" t="n">
        <x:v>0</x:v>
      </x:c>
      <x:c r="M599" s="1" t="n">
        <x:v>247</x:v>
      </x:c>
      <x:c r="N599" s="1"/>
      <x:c r="O599" s="1"/>
      <x:c r="P599" s="1"/>
      <x:c r="Q599" s="1"/>
    </x:row>
    <x:row r="600" ht="22" customHeight="1">
      <x:c r="A600" s="1" t="str">
        <x:v>O0595</x:v>
      </x:c>
      <x:c r="B600" s="1" t="str">
        <x:v>Simulated Hyderabad Engineering College 595</x:v>
      </x:c>
      <x:c r="C600" s="1" t="str">
        <x:v>South</x:v>
      </x:c>
      <x:c r="D600" s="1" t="str">
        <x:v>Meeting Scheduled</x:v>
      </x:c>
      <x:c r="E600" s="1" t="str">
        <x:v>Open</x:v>
      </x:c>
      <x:c r="F600" s="7" t="n">
        <x:v>200000</x:v>
      </x:c>
      <x:c r="G600" s="8" t="d">
        <x:v>2025-10-01T00:00:00.000Z</x:v>
      </x:c>
      <x:c r="H600" s="8" t="d">
        <x:v>2026-01-31T00:00:00.000Z</x:v>
      </x:c>
      <x:c r="I600" s="8"/>
      <x:c r="J600" s="7" t="n">
        <x:v>0</x:v>
      </x:c>
      <x:c r="K600" s="1" t="n">
        <x:v>39.14</x:v>
      </x:c>
      <x:c r="L600" s="1" t="n">
        <x:v>1</x:v>
      </x:c>
      <x:c r="M600" s="1" t="n">
        <x:v>310</x:v>
      </x:c>
      <x:c r="N600" s="1"/>
      <x:c r="O600" s="1"/>
      <x:c r="P600" s="1"/>
      <x:c r="Q600" s="1"/>
    </x:row>
    <x:row r="601" ht="22" customHeight="1">
      <x:c r="A601" s="1" t="str">
        <x:v>O0596</x:v>
      </x:c>
      <x:c r="B601" s="1" t="str">
        <x:v>Simulated Kolkata University 596</x:v>
      </x:c>
      <x:c r="C601" s="1" t="str">
        <x:v>East</x:v>
      </x:c>
      <x:c r="D601" s="1" t="str">
        <x:v>Closed Won</x:v>
      </x:c>
      <x:c r="E601" s="1" t="str">
        <x:v>Won</x:v>
      </x:c>
      <x:c r="F601" s="7" t="n">
        <x:v>841000</x:v>
      </x:c>
      <x:c r="G601" s="8" t="d">
        <x:v>2025-12-09T00:00:00.000Z</x:v>
      </x:c>
      <x:c r="H601" s="8" t="d">
        <x:v>2026-04-14T00:00:00.000Z</x:v>
      </x:c>
      <x:c r="I601" s="8" t="d">
        <x:v>2026-04-20T00:00:00.000Z</x:v>
      </x:c>
      <x:c r="J601" s="7" t="n">
        <x:v>377873.97</x:v>
      </x:c>
      <x:c r="K601" s="1" t="n">
        <x:v>0</x:v>
      </x:c>
      <x:c r="L601" s="1" t="n">
        <x:v>0</x:v>
      </x:c>
      <x:c r="M601" s="1" t="n">
        <x:v>163</x:v>
      </x:c>
      <x:c r="N601" s="1"/>
      <x:c r="O601" s="1"/>
      <x:c r="P601" s="1"/>
      <x:c r="Q601" s="1"/>
    </x:row>
    <x:row r="602" ht="22" customHeight="1">
      <x:c r="A602" s="1" t="str">
        <x:v>O0597</x:v>
      </x:c>
      <x:c r="B602" s="1" t="str">
        <x:v>Simulated Bhubaneswar Management Institute 597</x:v>
      </x:c>
      <x:c r="C602" s="1" t="str">
        <x:v>East</x:v>
      </x:c>
      <x:c r="D602" s="1" t="str">
        <x:v>Closed Lost</x:v>
      </x:c>
      <x:c r="E602" s="1" t="str">
        <x:v>Lost</x:v>
      </x:c>
      <x:c r="F602" s="7" t="n">
        <x:v>183000</x:v>
      </x:c>
      <x:c r="G602" s="8" t="d">
        <x:v>2025-10-23T00:00:00.000Z</x:v>
      </x:c>
      <x:c r="H602" s="8" t="d">
        <x:v>2026-03-07T00:00:00.000Z</x:v>
      </x:c>
      <x:c r="I602" s="8" t="d">
        <x:v>2026-01-23T00:00:00.000Z</x:v>
      </x:c>
      <x:c r="J602" s="7" t="n">
        <x:v>0</x:v>
      </x:c>
      <x:c r="K602" s="1" t="n">
        <x:v>0</x:v>
      </x:c>
      <x:c r="L602" s="1" t="n">
        <x:v>0</x:v>
      </x:c>
      <x:c r="M602" s="1" t="n">
        <x:v>250</x:v>
      </x:c>
      <x:c r="N602" s="1"/>
      <x:c r="O602" s="1"/>
      <x:c r="P602" s="1"/>
      <x:c r="Q602" s="1"/>
    </x:row>
    <x:row r="603" ht="22" customHeight="1">
      <x:c r="A603" s="1" t="str">
        <x:v>O0598</x:v>
      </x:c>
      <x:c r="B603" s="1" t="str">
        <x:v>Simulated Patna Arts and Science College 598</x:v>
      </x:c>
      <x:c r="C603" s="1" t="str">
        <x:v>East</x:v>
      </x:c>
      <x:c r="D603" s="1" t="str">
        <x:v>Closed Lost</x:v>
      </x:c>
      <x:c r="E603" s="1" t="str">
        <x:v>Lost</x:v>
      </x:c>
      <x:c r="F603" s="7" t="n">
        <x:v>155000</x:v>
      </x:c>
      <x:c r="G603" s="8" t="d">
        <x:v>2026-08-08T00:00:00.000Z</x:v>
      </x:c>
      <x:c r="H603" s="8" t="d">
        <x:v>2026-12-06T00:00:00.000Z</x:v>
      </x:c>
      <x:c r="I603" s="8" t="d">
        <x:v>2026-09-24T00:00:00.000Z</x:v>
      </x:c>
      <x:c r="J603" s="7" t="n">
        <x:v>0</x:v>
      </x:c>
      <x:c r="K603" s="1" t="n">
        <x:v>0</x:v>
      </x:c>
      <x:c r="L603" s="1" t="n">
        <x:v>0</x:v>
      </x:c>
      <x:c r="M603" s="1" t="n">
        <x:v>6</x:v>
      </x:c>
      <x:c r="N603" s="1"/>
      <x:c r="O603" s="1"/>
      <x:c r="P603" s="1"/>
      <x:c r="Q603" s="1"/>
    </x:row>
    <x:row r="604" ht="22" customHeight="1">
      <x:c r="A604" s="1" t="str">
        <x:v>O0599</x:v>
      </x:c>
      <x:c r="B604" s="1" t="str">
        <x:v>Simulated Guwahati Management Institute 599</x:v>
      </x:c>
      <x:c r="C604" s="1" t="str">
        <x:v>Northeast</x:v>
      </x:c>
      <x:c r="D604" s="1" t="str">
        <x:v>Closed Lost</x:v>
      </x:c>
      <x:c r="E604" s="1" t="str">
        <x:v>Lost</x:v>
      </x:c>
      <x:c r="F604" s="7" t="n">
        <x:v>252000</x:v>
      </x:c>
      <x:c r="G604" s="8" t="d">
        <x:v>2026-05-12T00:00:00.000Z</x:v>
      </x:c>
      <x:c r="H604" s="8" t="d">
        <x:v>2026-08-15T00:00:00.000Z</x:v>
      </x:c>
      <x:c r="I604" s="8" t="d">
        <x:v>2026-06-08T00:00:00.000Z</x:v>
      </x:c>
      <x:c r="J604" s="7" t="n">
        <x:v>0</x:v>
      </x:c>
      <x:c r="K604" s="1" t="n">
        <x:v>0</x:v>
      </x:c>
      <x:c r="L604" s="1" t="n">
        <x:v>0</x:v>
      </x:c>
      <x:c r="M604" s="1" t="n">
        <x:v>114</x:v>
      </x:c>
      <x:c r="N604" s="1"/>
      <x:c r="O604" s="1"/>
      <x:c r="P604" s="1"/>
      <x:c r="Q604" s="1"/>
    </x:row>
    <x:row r="605" ht="22" customHeight="1">
      <x:c r="A605" s="1" t="str">
        <x:v>O0600</x:v>
      </x:c>
      <x:c r="B605" s="1" t="str">
        <x:v>Simulated Indore Arts and Science College 600</x:v>
      </x:c>
      <x:c r="C605" s="1" t="str">
        <x:v>Central</x:v>
      </x:c>
      <x:c r="D605" s="1" t="str">
        <x:v>Meeting Scheduled</x:v>
      </x:c>
      <x:c r="E605" s="1" t="str">
        <x:v>Open</x:v>
      </x:c>
      <x:c r="F605" s="7" t="n">
        <x:v>265000</x:v>
      </x:c>
      <x:c r="G605" s="8" t="d">
        <x:v>2026-08-02T00:00:00.000Z</x:v>
      </x:c>
      <x:c r="H605" s="8" t="d">
        <x:v>2026-11-13T00:00:00.000Z</x:v>
      </x:c>
      <x:c r="I605" s="8"/>
      <x:c r="J605" s="7" t="n">
        <x:v>0</x:v>
      </x:c>
      <x:c r="K605" s="1" t="n">
        <x:v>52.44</x:v>
      </x:c>
      <x:c r="L605" s="1" t="n">
        <x:v>1</x:v>
      </x:c>
      <x:c r="M605" s="1" t="n">
        <x:v>5</x:v>
      </x:c>
      <x:c r="N605" s="1"/>
      <x:c r="O605" s="1"/>
      <x:c r="P605" s="1"/>
      <x:c r="Q605" s="1"/>
    </x:row>
    <x:row r="606" ht="22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</x:row>
    <x:row r="607" ht="22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</x:row>
    <x:row r="608" ht="22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</x:row>
    <x:row r="609" ht="22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</x:row>
    <x:row r="610" ht="22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</x:row>
  </x:sheetData>
  <x:conditionalFormatting sqref="L6:L605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b1e14dbe83484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Institutional lead scoring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3" t="str">
        <x:v>Open leads only. Component inputs from Python. Editable components recalculate score and priority.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6" t="str">
        <x:v>Opportunity</x:v>
      </x:c>
      <x:c r="B5" s="6" t="str">
        <x:v>Institution</x:v>
      </x:c>
      <x:c r="C5" s="6" t="str">
        <x:v>Size</x:v>
      </x:c>
      <x:c r="D5" s="6" t="str">
        <x:v>Market</x:v>
      </x:c>
      <x:c r="E5" s="6" t="str">
        <x:v>Engagement</x:v>
      </x:c>
      <x:c r="F5" s="6" t="str">
        <x:v>Segment</x:v>
      </x:c>
      <x:c r="G5" s="6" t="str">
        <x:v>Response</x:v>
      </x:c>
      <x:c r="H5" s="6" t="str">
        <x:v>Value</x:v>
      </x:c>
      <x:c r="I5" s="6" t="str">
        <x:v>Stage</x:v>
      </x:c>
      <x:c r="J5" s="6" t="str">
        <x:v>Recency</x:v>
      </x:c>
      <x:c r="K5" s="6" t="str">
        <x:v>Total score</x:v>
      </x:c>
      <x:c r="L5" s="6" t="str">
        <x:v>Priority</x:v>
      </x:c>
      <x:c r="M5" s="1"/>
      <x:c r="N5" s="1"/>
      <x:c r="O5" s="1"/>
      <x:c r="P5" s="1"/>
      <x:c r="Q5" s="1"/>
    </x:row>
    <x:row r="6" ht="22" customHeight="1">
      <x:c r="A6" s="1" t="str">
        <x:v>O0426</x:v>
      </x:c>
      <x:c r="B6" s="1" t="str">
        <x:v>Simulated Ahmedabad University 426</x:v>
      </x:c>
      <x:c r="C6" s="9" t="n">
        <x:v>15</x:v>
      </x:c>
      <x:c r="D6" s="9" t="n">
        <x:v>8</x:v>
      </x:c>
      <x:c r="E6" s="9" t="n">
        <x:v>13.75</x:v>
      </x:c>
      <x:c r="F6" s="9" t="n">
        <x:v>10</x:v>
      </x:c>
      <x:c r="G6" s="9" t="n">
        <x:v>12.2727272727</x:v>
      </x:c>
      <x:c r="H6" s="9" t="n">
        <x:v>12.23</x:v>
      </x:c>
      <x:c r="I6" s="9" t="n">
        <x:v>2.5714285714</x:v>
      </x:c>
      <x:c r="J6" s="9" t="n">
        <x:v>6.3333333333</x:v>
      </x:c>
      <x:c r="K6" s="9" t="n">
        <x:f>ROUND(SUM(C6:J6),2)</x:f>
        <x:v>80.16</x:v>
      </x:c>
      <x:c r="L6" s="1" t="str">
        <x:f>IF(K6&gt;=70,"High",IF(K6&gt;=45,"Medium","Low"))</x:f>
        <x:v>High</x:v>
      </x:c>
      <x:c r="M6" s="1"/>
      <x:c r="N6" s="1"/>
      <x:c r="O6" s="1"/>
      <x:c r="P6" s="1"/>
      <x:c r="Q6" s="1"/>
    </x:row>
    <x:row r="7" ht="22" customHeight="1">
      <x:c r="A7" s="1" t="str">
        <x:v>O0537</x:v>
      </x:c>
      <x:c r="B7" s="1" t="str">
        <x:v>Simulated Bhubaneswar University 537</x:v>
      </x:c>
      <x:c r="C7" s="9" t="n">
        <x:v>15</x:v>
      </x:c>
      <x:c r="D7" s="9" t="n">
        <x:v>6.5</x:v>
      </x:c>
      <x:c r="E7" s="9" t="n">
        <x:v>11.25</x:v>
      </x:c>
      <x:c r="F7" s="9" t="n">
        <x:v>10</x:v>
      </x:c>
      <x:c r="G7" s="9" t="n">
        <x:v>10</x:v>
      </x:c>
      <x:c r="H7" s="9" t="n">
        <x:v>9.38</x:v>
      </x:c>
      <x:c r="I7" s="9" t="n">
        <x:v>7.1428571429</x:v>
      </x:c>
      <x:c r="J7" s="9" t="n">
        <x:v>8</x:v>
      </x:c>
      <x:c r="K7" s="9" t="n">
        <x:f>ROUND(SUM(C7:J7),2)</x:f>
        <x:v>77.27</x:v>
      </x:c>
      <x:c r="L7" s="1" t="str">
        <x:f>IF(K7&gt;=70,"High",IF(K7&gt;=45,"Medium","Low"))</x:f>
        <x:v>High</x:v>
      </x:c>
      <x:c r="M7" s="1"/>
      <x:c r="N7" s="1"/>
      <x:c r="O7" s="1"/>
      <x:c r="P7" s="1"/>
      <x:c r="Q7" s="1"/>
    </x:row>
    <x:row r="8" ht="22" customHeight="1">
      <x:c r="A8" s="1" t="str">
        <x:v>O0459</x:v>
      </x:c>
      <x:c r="B8" s="1" t="str">
        <x:v>Simulated Chennai University 459</x:v>
      </x:c>
      <x:c r="C8" s="9" t="n">
        <x:v>14.721</x:v>
      </x:c>
      <x:c r="D8" s="9" t="n">
        <x:v>9</x:v>
      </x:c>
      <x:c r="E8" s="9" t="n">
        <x:v>15</x:v>
      </x:c>
      <x:c r="F8" s="9" t="n">
        <x:v>10</x:v>
      </x:c>
      <x:c r="G8" s="9" t="n">
        <x:v>8.75</x:v>
      </x:c>
      <x:c r="H8" s="9" t="n">
        <x:v>7.46</x:v>
      </x:c>
      <x:c r="I8" s="9" t="n">
        <x:v>7.1428571429</x:v>
      </x:c>
      <x:c r="J8" s="9" t="n">
        <x:v>4.8333333333</x:v>
      </x:c>
      <x:c r="K8" s="9" t="n">
        <x:f>ROUND(SUM(C8:J8),2)</x:f>
        <x:v>76.91</x:v>
      </x:c>
      <x:c r="L8" s="1" t="str">
        <x:f>IF(K8&gt;=70,"High",IF(K8&gt;=45,"Medium","Low"))</x:f>
        <x:v>High</x:v>
      </x:c>
      <x:c r="M8" s="1"/>
      <x:c r="N8" s="1"/>
      <x:c r="O8" s="1"/>
      <x:c r="P8" s="1"/>
      <x:c r="Q8" s="1"/>
    </x:row>
    <x:row r="9" ht="22" customHeight="1">
      <x:c r="A9" s="1" t="str">
        <x:v>O0095</x:v>
      </x:c>
      <x:c r="B9" s="1" t="str">
        <x:v>Simulated Pune University 095</x:v>
      </x:c>
      <x:c r="C9" s="9" t="n">
        <x:v>14.695</x:v>
      </x:c>
      <x:c r="D9" s="9" t="n">
        <x:v>8</x:v>
      </x:c>
      <x:c r="E9" s="9" t="n">
        <x:v>15</x:v>
      </x:c>
      <x:c r="F9" s="9" t="n">
        <x:v>10</x:v>
      </x:c>
      <x:c r="G9" s="9" t="n">
        <x:v>8.75</x:v>
      </x:c>
      <x:c r="H9" s="9" t="n">
        <x:v>10.4</x:v>
      </x:c>
      <x:c r="I9" s="9" t="n">
        <x:v>0.4285714286</x:v>
      </x:c>
      <x:c r="J9" s="9" t="n">
        <x:v>9.5</x:v>
      </x:c>
      <x:c r="K9" s="9" t="n">
        <x:f>ROUND(SUM(C9:J9),2)</x:f>
        <x:v>76.77</x:v>
      </x:c>
      <x:c r="L9" s="1" t="str">
        <x:f>IF(K9&gt;=70,"High",IF(K9&gt;=45,"Medium","Low"))</x:f>
        <x:v>High</x:v>
      </x:c>
      <x:c r="M9" s="1"/>
      <x:c r="N9" s="1"/>
      <x:c r="O9" s="1"/>
      <x:c r="P9" s="1"/>
      <x:c r="Q9" s="1"/>
    </x:row>
    <x:row r="10" ht="22" customHeight="1">
      <x:c r="A10" s="1" t="str">
        <x:v>O0211</x:v>
      </x:c>
      <x:c r="B10" s="1" t="str">
        <x:v>Simulated New Delhi University 211</x:v>
      </x:c>
      <x:c r="C10" s="9" t="n">
        <x:v>15</x:v>
      </x:c>
      <x:c r="D10" s="9" t="n">
        <x:v>8.5</x:v>
      </x:c>
      <x:c r="E10" s="9" t="n">
        <x:v>15</x:v>
      </x:c>
      <x:c r="F10" s="9" t="n">
        <x:v>10</x:v>
      </x:c>
      <x:c r="G10" s="9" t="n">
        <x:v>10</x:v>
      </x:c>
      <x:c r="H10" s="9" t="n">
        <x:v>7.82</x:v>
      </x:c>
      <x:c r="I10" s="9" t="n">
        <x:v>0.4285714286</x:v>
      </x:c>
      <x:c r="J10" s="9" t="n">
        <x:v>9.8333333333</x:v>
      </x:c>
      <x:c r="K10" s="9" t="n">
        <x:f>ROUND(SUM(C10:J10),2)</x:f>
        <x:v>76.58</x:v>
      </x:c>
      <x:c r="L10" s="1" t="str">
        <x:f>IF(K10&gt;=70,"High",IF(K10&gt;=45,"Medium","Low"))</x:f>
        <x:v>High</x:v>
      </x:c>
      <x:c r="M10" s="1"/>
      <x:c r="N10" s="1"/>
      <x:c r="O10" s="1"/>
      <x:c r="P10" s="1"/>
      <x:c r="Q10" s="1"/>
    </x:row>
    <x:row r="11" ht="22" customHeight="1">
      <x:c r="A11" s="1" t="str">
        <x:v>O0301</x:v>
      </x:c>
      <x:c r="B11" s="1" t="str">
        <x:v>Simulated New Delhi University 301</x:v>
      </x:c>
      <x:c r="C11" s="9" t="n">
        <x:v>13.982</x:v>
      </x:c>
      <x:c r="D11" s="9" t="n">
        <x:v>8.5</x:v>
      </x:c>
      <x:c r="E11" s="9" t="n">
        <x:v>13.75</x:v>
      </x:c>
      <x:c r="F11" s="9" t="n">
        <x:v>10</x:v>
      </x:c>
      <x:c r="G11" s="9" t="n">
        <x:v>9.5454545455</x:v>
      </x:c>
      <x:c r="H11" s="9" t="n">
        <x:v>7.75</x:v>
      </x:c>
      <x:c r="I11" s="9" t="n">
        <x:v>4.2857142857</x:v>
      </x:c>
      <x:c r="J11" s="9" t="n">
        <x:v>8.6666666667</x:v>
      </x:c>
      <x:c r="K11" s="9" t="n">
        <x:f>ROUND(SUM(C11:J11),2)</x:f>
        <x:v>76.48</x:v>
      </x:c>
      <x:c r="L11" s="1" t="str">
        <x:f>IF(K11&gt;=70,"High",IF(K11&gt;=45,"Medium","Low"))</x:f>
        <x:v>High</x:v>
      </x:c>
      <x:c r="M11" s="1"/>
      <x:c r="N11" s="1"/>
      <x:c r="O11" s="1"/>
      <x:c r="P11" s="1"/>
      <x:c r="Q11" s="1"/>
    </x:row>
    <x:row r="12" ht="22" customHeight="1">
      <x:c r="A12" s="1" t="str">
        <x:v>O0559</x:v>
      </x:c>
      <x:c r="B12" s="1" t="str">
        <x:v>Simulated Ludhiana University 559</x:v>
      </x:c>
      <x:c r="C12" s="9" t="n">
        <x:v>15</x:v>
      </x:c>
      <x:c r="D12" s="9" t="n">
        <x:v>8.5</x:v>
      </x:c>
      <x:c r="E12" s="9" t="n">
        <x:v>13.75</x:v>
      </x:c>
      <x:c r="F12" s="9" t="n">
        <x:v>10</x:v>
      </x:c>
      <x:c r="G12" s="9" t="n">
        <x:v>8.1818181818</x:v>
      </x:c>
      <x:c r="H12" s="9" t="n">
        <x:v>9.85</x:v>
      </x:c>
      <x:c r="I12" s="9" t="n">
        <x:v>1.4285714286</x:v>
      </x:c>
      <x:c r="J12" s="9" t="n">
        <x:v>8.8333333333</x:v>
      </x:c>
      <x:c r="K12" s="9" t="n">
        <x:f>ROUND(SUM(C12:J12),2)</x:f>
        <x:v>75.54</x:v>
      </x:c>
      <x:c r="L12" s="1" t="str">
        <x:f>IF(K12&gt;=70,"High",IF(K12&gt;=45,"Medium","Low"))</x:f>
        <x:v>High</x:v>
      </x:c>
      <x:c r="M12" s="1"/>
      <x:c r="N12" s="1"/>
      <x:c r="O12" s="1"/>
      <x:c r="P12" s="1"/>
      <x:c r="Q12" s="1"/>
    </x:row>
    <x:row r="13" ht="22" customHeight="1">
      <x:c r="A13" s="1" t="str">
        <x:v>O0271</x:v>
      </x:c>
      <x:c r="B13" s="1" t="str">
        <x:v>Simulated New Delhi University 271</x:v>
      </x:c>
      <x:c r="C13" s="9" t="n">
        <x:v>14.473</x:v>
      </x:c>
      <x:c r="D13" s="9" t="n">
        <x:v>8.5</x:v>
      </x:c>
      <x:c r="E13" s="9" t="n">
        <x:v>12.5</x:v>
      </x:c>
      <x:c r="F13" s="9" t="n">
        <x:v>10</x:v>
      </x:c>
      <x:c r="G13" s="9" t="n">
        <x:v>10.5</x:v>
      </x:c>
      <x:c r="H13" s="9" t="n">
        <x:v>9.27</x:v>
      </x:c>
      <x:c r="I13" s="9" t="n">
        <x:v>0.4285714286</x:v>
      </x:c>
      <x:c r="J13" s="9" t="n">
        <x:v>9.8333333333</x:v>
      </x:c>
      <x:c r="K13" s="9" t="n">
        <x:f>ROUND(SUM(C13:J13),2)</x:f>
        <x:v>75.5</x:v>
      </x:c>
      <x:c r="L13" s="1" t="str">
        <x:f>IF(K13&gt;=70,"High",IF(K13&gt;=45,"Medium","Low"))</x:f>
        <x:v>High</x:v>
      </x:c>
      <x:c r="M13" s="1"/>
      <x:c r="N13" s="1"/>
      <x:c r="O13" s="1"/>
      <x:c r="P13" s="1"/>
      <x:c r="Q13" s="1"/>
    </x:row>
    <x:row r="14" ht="22" customHeight="1">
      <x:c r="A14" s="1" t="str">
        <x:v>O0048</x:v>
      </x:c>
      <x:c r="B14" s="1" t="str">
        <x:v>Simulated Gurugram University 048</x:v>
      </x:c>
      <x:c r="C14" s="9" t="n">
        <x:v>15</x:v>
      </x:c>
      <x:c r="D14" s="9" t="n">
        <x:v>8.5</x:v>
      </x:c>
      <x:c r="E14" s="9" t="n">
        <x:v>12.5</x:v>
      </x:c>
      <x:c r="F14" s="9" t="n">
        <x:v>10</x:v>
      </x:c>
      <x:c r="G14" s="9" t="n">
        <x:v>10.5</x:v>
      </x:c>
      <x:c r="H14" s="9" t="n">
        <x:v>9.45</x:v>
      </x:c>
      <x:c r="I14" s="9" t="n">
        <x:v>0.4285714286</x:v>
      </x:c>
      <x:c r="J14" s="9" t="n">
        <x:v>6.6666666667</x:v>
      </x:c>
      <x:c r="K14" s="9" t="n">
        <x:f>ROUND(SUM(C14:J14),2)</x:f>
        <x:v>73.05</x:v>
      </x:c>
      <x:c r="L14" s="1" t="str">
        <x:f>IF(K14&gt;=70,"High",IF(K14&gt;=45,"Medium","Low"))</x:f>
        <x:v>High</x:v>
      </x:c>
      <x:c r="M14" s="1"/>
      <x:c r="N14" s="1"/>
      <x:c r="O14" s="1"/>
      <x:c r="P14" s="1"/>
      <x:c r="Q14" s="1"/>
    </x:row>
    <x:row r="15" ht="22" customHeight="1">
      <x:c r="A15" s="1" t="str">
        <x:v>O0013</x:v>
      </x:c>
      <x:c r="B15" s="1" t="str">
        <x:v>Simulated Patna University 013</x:v>
      </x:c>
      <x:c r="C15" s="9" t="n">
        <x:v>15</x:v>
      </x:c>
      <x:c r="D15" s="9" t="n">
        <x:v>6.5</x:v>
      </x:c>
      <x:c r="E15" s="9" t="n">
        <x:v>13.75</x:v>
      </x:c>
      <x:c r="F15" s="9" t="n">
        <x:v>10</x:v>
      </x:c>
      <x:c r="G15" s="9" t="n">
        <x:v>6.8181818182</x:v>
      </x:c>
      <x:c r="H15" s="9" t="n">
        <x:v>10.74</x:v>
      </x:c>
      <x:c r="I15" s="9" t="n">
        <x:v>1.4285714286</x:v>
      </x:c>
      <x:c r="J15" s="9" t="n">
        <x:v>8.1666666667</x:v>
      </x:c>
      <x:c r="K15" s="9" t="n">
        <x:f>ROUND(SUM(C15:J15),2)</x:f>
        <x:v>72.4</x:v>
      </x:c>
      <x:c r="L15" s="1" t="str">
        <x:f>IF(K15&gt;=70,"High",IF(K15&gt;=45,"Medium","Low"))</x:f>
        <x:v>High</x:v>
      </x:c>
      <x:c r="M15" s="1"/>
      <x:c r="N15" s="1"/>
      <x:c r="O15" s="1"/>
      <x:c r="P15" s="1"/>
      <x:c r="Q15" s="1"/>
    </x:row>
    <x:row r="16" ht="22" customHeight="1">
      <x:c r="A16" s="1" t="str">
        <x:v>O0014</x:v>
      </x:c>
      <x:c r="B16" s="1" t="str">
        <x:v>Simulated Guwahati University 014</x:v>
      </x:c>
      <x:c r="C16" s="9" t="n">
        <x:v>15</x:v>
      </x:c>
      <x:c r="D16" s="9" t="n">
        <x:v>5.5</x:v>
      </x:c>
      <x:c r="E16" s="9" t="n">
        <x:v>15</x:v>
      </x:c>
      <x:c r="F16" s="9" t="n">
        <x:v>10</x:v>
      </x:c>
      <x:c r="G16" s="9" t="n">
        <x:v>5</x:v>
      </x:c>
      <x:c r="H16" s="9" t="n">
        <x:v>11.09</x:v>
      </x:c>
      <x:c r="I16" s="9" t="n">
        <x:v>1.4285714286</x:v>
      </x:c>
      <x:c r="J16" s="9" t="n">
        <x:v>8.6666666667</x:v>
      </x:c>
      <x:c r="K16" s="9" t="n">
        <x:f>ROUND(SUM(C16:J16),2)</x:f>
        <x:v>71.69</x:v>
      </x:c>
      <x:c r="L16" s="1" t="str">
        <x:f>IF(K16&gt;=70,"High",IF(K16&gt;=45,"Medium","Low"))</x:f>
        <x:v>High</x:v>
      </x:c>
      <x:c r="M16" s="1"/>
      <x:c r="N16" s="1"/>
      <x:c r="O16" s="1"/>
      <x:c r="P16" s="1"/>
      <x:c r="Q16" s="1"/>
    </x:row>
    <x:row r="17" ht="22" customHeight="1">
      <x:c r="A17" s="1" t="str">
        <x:v>O0294</x:v>
      </x:c>
      <x:c r="B17" s="1" t="str">
        <x:v>Simulated Chennai University 294</x:v>
      </x:c>
      <x:c r="C17" s="9" t="n">
        <x:v>15</x:v>
      </x:c>
      <x:c r="D17" s="9" t="n">
        <x:v>9</x:v>
      </x:c>
      <x:c r="E17" s="9" t="n">
        <x:v>10</x:v>
      </x:c>
      <x:c r="F17" s="9" t="n">
        <x:v>10</x:v>
      </x:c>
      <x:c r="G17" s="9" t="n">
        <x:v>7.5</x:v>
      </x:c>
      <x:c r="H17" s="9" t="n">
        <x:v>11.54</x:v>
      </x:c>
      <x:c r="I17" s="9" t="n">
        <x:v>1.4285714286</x:v>
      </x:c>
      <x:c r="J17" s="9" t="n">
        <x:v>6.5</x:v>
      </x:c>
      <x:c r="K17" s="9" t="n">
        <x:f>ROUND(SUM(C17:J17),2)</x:f>
        <x:v>70.97</x:v>
      </x:c>
      <x:c r="L17" s="1" t="str">
        <x:f>IF(K17&gt;=70,"High",IF(K17&gt;=45,"Medium","Low"))</x:f>
        <x:v>High</x:v>
      </x:c>
      <x:c r="M17" s="1"/>
      <x:c r="N17" s="1"/>
      <x:c r="O17" s="1"/>
      <x:c r="P17" s="1"/>
      <x:c r="Q17" s="1"/>
    </x:row>
    <x:row r="18" ht="22" customHeight="1">
      <x:c r="A18" s="1" t="str">
        <x:v>O0505</x:v>
      </x:c>
      <x:c r="B18" s="1" t="str">
        <x:v>Simulated Hyderabad University 505</x:v>
      </x:c>
      <x:c r="C18" s="9" t="n">
        <x:v>15</x:v>
      </x:c>
      <x:c r="D18" s="9" t="n">
        <x:v>9</x:v>
      </x:c>
      <x:c r="E18" s="9" t="n">
        <x:v>7.5</x:v>
      </x:c>
      <x:c r="F18" s="9" t="n">
        <x:v>10</x:v>
      </x:c>
      <x:c r="G18" s="9" t="n">
        <x:v>12.5</x:v>
      </x:c>
      <x:c r="H18" s="9" t="n">
        <x:v>6.41</x:v>
      </x:c>
      <x:c r="I18" s="9" t="n">
        <x:v>1.4285714286</x:v>
      </x:c>
      <x:c r="J18" s="9" t="n">
        <x:v>8.6666666667</x:v>
      </x:c>
      <x:c r="K18" s="9" t="n">
        <x:f>ROUND(SUM(C18:J18),2)</x:f>
        <x:v>70.51</x:v>
      </x:c>
      <x:c r="L18" s="1" t="str">
        <x:f>IF(K18&gt;=70,"High",IF(K18&gt;=45,"Medium","Low"))</x:f>
        <x:v>High</x:v>
      </x:c>
      <x:c r="M18" s="1"/>
      <x:c r="N18" s="1"/>
      <x:c r="O18" s="1"/>
      <x:c r="P18" s="1"/>
      <x:c r="Q18" s="1"/>
    </x:row>
    <x:row r="19" ht="22" customHeight="1">
      <x:c r="A19" s="1" t="str">
        <x:v>O0340</x:v>
      </x:c>
      <x:c r="B19" s="1" t="str">
        <x:v>Simulated Hyderabad University 340</x:v>
      </x:c>
      <x:c r="C19" s="9" t="n">
        <x:v>15</x:v>
      </x:c>
      <x:c r="D19" s="9" t="n">
        <x:v>9</x:v>
      </x:c>
      <x:c r="E19" s="9" t="n">
        <x:v>10</x:v>
      </x:c>
      <x:c r="F19" s="9" t="n">
        <x:v>10</x:v>
      </x:c>
      <x:c r="G19" s="9" t="n">
        <x:v>5.625</x:v>
      </x:c>
      <x:c r="H19" s="9" t="n">
        <x:v>12.09</x:v>
      </x:c>
      <x:c r="I19" s="9" t="n">
        <x:v>7.1428571429</x:v>
      </x:c>
      <x:c r="J19" s="9" t="n">
        <x:v>1.1666666667</x:v>
      </x:c>
      <x:c r="K19" s="9" t="n">
        <x:f>ROUND(SUM(C19:J19),2)</x:f>
        <x:v>70.02</x:v>
      </x:c>
      <x:c r="L19" s="1" t="str">
        <x:f>IF(K19&gt;=70,"High",IF(K19&gt;=45,"Medium","Low"))</x:f>
        <x:v>High</x:v>
      </x:c>
      <x:c r="M19" s="1"/>
      <x:c r="N19" s="1"/>
      <x:c r="O19" s="1"/>
      <x:c r="P19" s="1"/>
      <x:c r="Q19" s="1"/>
    </x:row>
    <x:row r="20" ht="22" customHeight="1">
      <x:c r="A20" s="1" t="str">
        <x:v>O0349</x:v>
      </x:c>
      <x:c r="B20" s="1" t="str">
        <x:v>Simulated Ludhiana University 349</x:v>
      </x:c>
      <x:c r="C20" s="9" t="n">
        <x:v>14.932</x:v>
      </x:c>
      <x:c r="D20" s="9" t="n">
        <x:v>8.5</x:v>
      </x:c>
      <x:c r="E20" s="9" t="n">
        <x:v>8.75</x:v>
      </x:c>
      <x:c r="F20" s="9" t="n">
        <x:v>10</x:v>
      </x:c>
      <x:c r="G20" s="9" t="n">
        <x:v>8.5714285714</x:v>
      </x:c>
      <x:c r="H20" s="9" t="n">
        <x:v>11.19</x:v>
      </x:c>
      <x:c r="I20" s="9" t="n">
        <x:v>0.4285714286</x:v>
      </x:c>
      <x:c r="J20" s="9" t="n">
        <x:v>7.1666666667</x:v>
      </x:c>
      <x:c r="K20" s="9" t="n">
        <x:f>ROUND(SUM(C20:J20),2)</x:f>
        <x:v>69.54</x:v>
      </x:c>
      <x:c r="L20" s="1" t="str">
        <x:f>IF(K20&gt;=70,"High",IF(K20&gt;=45,"Medium","Low"))</x:f>
        <x:v>Medium</x:v>
      </x:c>
      <x:c r="M20" s="1"/>
      <x:c r="N20" s="1"/>
      <x:c r="O20" s="1"/>
      <x:c r="P20" s="1"/>
      <x:c r="Q20" s="1"/>
    </x:row>
    <x:row r="21" ht="22" customHeight="1">
      <x:c r="A21" s="1" t="str">
        <x:v>O0170</x:v>
      </x:c>
      <x:c r="B21" s="1" t="str">
        <x:v>Simulated Pune University 170</x:v>
      </x:c>
      <x:c r="C21" s="9" t="n">
        <x:v>11.555</x:v>
      </x:c>
      <x:c r="D21" s="9" t="n">
        <x:v>8</x:v>
      </x:c>
      <x:c r="E21" s="9" t="n">
        <x:v>7.5</x:v>
      </x:c>
      <x:c r="F21" s="9" t="n">
        <x:v>10</x:v>
      </x:c>
      <x:c r="G21" s="9" t="n">
        <x:v>12.5</x:v>
      </x:c>
      <x:c r="H21" s="9" t="n">
        <x:v>7.37</x:v>
      </x:c>
      <x:c r="I21" s="9" t="n">
        <x:v>2.5714285714</x:v>
      </x:c>
      <x:c r="J21" s="9" t="n">
        <x:v>9.3333333333</x:v>
      </x:c>
      <x:c r="K21" s="9" t="n">
        <x:f>ROUND(SUM(C21:J21),2)</x:f>
        <x:v>68.83</x:v>
      </x:c>
      <x:c r="L21" s="1" t="str">
        <x:f>IF(K21&gt;=70,"High",IF(K21&gt;=45,"Medium","Low"))</x:f>
        <x:v>Medium</x:v>
      </x:c>
      <x:c r="M21" s="1"/>
      <x:c r="N21" s="1"/>
      <x:c r="O21" s="1"/>
      <x:c r="P21" s="1"/>
      <x:c r="Q21" s="1"/>
    </x:row>
    <x:row r="22" ht="22" customHeight="1">
      <x:c r="A22" s="1" t="str">
        <x:v>O0122</x:v>
      </x:c>
      <x:c r="B22" s="1" t="str">
        <x:v>Simulated Noida University 122</x:v>
      </x:c>
      <x:c r="C22" s="9" t="n">
        <x:v>10.627</x:v>
      </x:c>
      <x:c r="D22" s="9" t="n">
        <x:v>8.5</x:v>
      </x:c>
      <x:c r="E22" s="9" t="n">
        <x:v>10</x:v>
      </x:c>
      <x:c r="F22" s="9" t="n">
        <x:v>10</x:v>
      </x:c>
      <x:c r="G22" s="9" t="n">
        <x:v>5.625</x:v>
      </x:c>
      <x:c r="H22" s="9" t="n">
        <x:v>6.88</x:v>
      </x:c>
      <x:c r="I22" s="9" t="n">
        <x:v>7.1428571429</x:v>
      </x:c>
      <x:c r="J22" s="9" t="n">
        <x:v>9.5</x:v>
      </x:c>
      <x:c r="K22" s="9" t="n">
        <x:f>ROUND(SUM(C22:J22),2)</x:f>
        <x:v>68.27</x:v>
      </x:c>
      <x:c r="L22" s="1" t="str">
        <x:f>IF(K22&gt;=70,"High",IF(K22&gt;=45,"Medium","Low"))</x:f>
        <x:v>Medium</x:v>
      </x:c>
      <x:c r="M22" s="1"/>
      <x:c r="N22" s="1"/>
      <x:c r="O22" s="1"/>
      <x:c r="P22" s="1"/>
      <x:c r="Q22" s="1"/>
    </x:row>
    <x:row r="23" ht="22" customHeight="1">
      <x:c r="A23" s="1" t="str">
        <x:v>O0486</x:v>
      </x:c>
      <x:c r="B23" s="1" t="str">
        <x:v>Simulated Ahmedabad University 486</x:v>
      </x:c>
      <x:c r="C23" s="9" t="n">
        <x:v>11.428</x:v>
      </x:c>
      <x:c r="D23" s="9" t="n">
        <x:v>8</x:v>
      </x:c>
      <x:c r="E23" s="9" t="n">
        <x:v>12.5</x:v>
      </x:c>
      <x:c r="F23" s="9" t="n">
        <x:v>10</x:v>
      </x:c>
      <x:c r="G23" s="9" t="n">
        <x:v>12</x:v>
      </x:c>
      <x:c r="H23" s="9" t="n">
        <x:v>6.87</x:v>
      </x:c>
      <x:c r="I23" s="9" t="n">
        <x:v>1.4285714286</x:v>
      </x:c>
      <x:c r="J23" s="9" t="n">
        <x:v>5.8333333333</x:v>
      </x:c>
      <x:c r="K23" s="9" t="n">
        <x:f>ROUND(SUM(C23:J23),2)</x:f>
        <x:v>68.06</x:v>
      </x:c>
      <x:c r="L23" s="1" t="str">
        <x:f>IF(K23&gt;=70,"High",IF(K23&gt;=45,"Medium","Low"))</x:f>
        <x:v>Medium</x:v>
      </x:c>
      <x:c r="M23" s="1"/>
      <x:c r="N23" s="1"/>
      <x:c r="O23" s="1"/>
      <x:c r="P23" s="1"/>
      <x:c r="Q23" s="1"/>
    </x:row>
    <x:row r="24" ht="22" customHeight="1">
      <x:c r="A24" s="1" t="str">
        <x:v>O0347</x:v>
      </x:c>
      <x:c r="B24" s="1" t="str">
        <x:v>Simulated Noida University 347</x:v>
      </x:c>
      <x:c r="C24" s="9" t="n">
        <x:v>15</x:v>
      </x:c>
      <x:c r="D24" s="9" t="n">
        <x:v>8.5</x:v>
      </x:c>
      <x:c r="E24" s="9" t="n">
        <x:v>8.75</x:v>
      </x:c>
      <x:c r="F24" s="9" t="n">
        <x:v>10</x:v>
      </x:c>
      <x:c r="G24" s="9" t="n">
        <x:v>12.8571428571</x:v>
      </x:c>
      <x:c r="H24" s="9" t="n">
        <x:v>10.03</x:v>
      </x:c>
      <x:c r="I24" s="9" t="n">
        <x:v>2.5714285714</x:v>
      </x:c>
      <x:c r="J24" s="9" t="n">
        <x:v>0</x:v>
      </x:c>
      <x:c r="K24" s="9" t="n">
        <x:f>ROUND(SUM(C24:J24),2)</x:f>
        <x:v>67.71</x:v>
      </x:c>
      <x:c r="L24" s="1" t="str">
        <x:f>IF(K24&gt;=70,"High",IF(K24&gt;=45,"Medium","Low"))</x:f>
        <x:v>Medium</x:v>
      </x:c>
      <x:c r="M24" s="1"/>
      <x:c r="N24" s="1"/>
      <x:c r="O24" s="1"/>
      <x:c r="P24" s="1"/>
      <x:c r="Q24" s="1"/>
    </x:row>
    <x:row r="25" ht="22" customHeight="1">
      <x:c r="A25" s="1" t="str">
        <x:v>O0575</x:v>
      </x:c>
      <x:c r="B25" s="1" t="str">
        <x:v>Simulated Pune University 575</x:v>
      </x:c>
      <x:c r="C25" s="9" t="n">
        <x:v>15</x:v>
      </x:c>
      <x:c r="D25" s="9" t="n">
        <x:v>8</x:v>
      </x:c>
      <x:c r="E25" s="9" t="n">
        <x:v>8.75</x:v>
      </x:c>
      <x:c r="F25" s="9" t="n">
        <x:v>10</x:v>
      </x:c>
      <x:c r="G25" s="9" t="n">
        <x:v>10.7142857143</x:v>
      </x:c>
      <x:c r="H25" s="9" t="n">
        <x:v>6.78</x:v>
      </x:c>
      <x:c r="I25" s="9" t="n">
        <x:v>0.4285714286</x:v>
      </x:c>
      <x:c r="J25" s="9" t="n">
        <x:v>7.5</x:v>
      </x:c>
      <x:c r="K25" s="9" t="n">
        <x:f>ROUND(SUM(C25:J25),2)</x:f>
        <x:v>67.17</x:v>
      </x:c>
      <x:c r="L25" s="1" t="str">
        <x:f>IF(K25&gt;=70,"High",IF(K25&gt;=45,"Medium","Low"))</x:f>
        <x:v>Medium</x:v>
      </x:c>
      <x:c r="M25" s="1"/>
      <x:c r="N25" s="1"/>
      <x:c r="O25" s="1"/>
      <x:c r="P25" s="1"/>
      <x:c r="Q25" s="1"/>
    </x:row>
    <x:row r="26" ht="22" customHeight="1">
      <x:c r="A26" s="1" t="str">
        <x:v>O0189</x:v>
      </x:c>
      <x:c r="B26" s="1" t="str">
        <x:v>Simulated Chennai University 189</x:v>
      </x:c>
      <x:c r="C26" s="9" t="n">
        <x:v>13.797</x:v>
      </x:c>
      <x:c r="D26" s="9" t="n">
        <x:v>9</x:v>
      </x:c>
      <x:c r="E26" s="9" t="n">
        <x:v>7.5</x:v>
      </x:c>
      <x:c r="F26" s="9" t="n">
        <x:v>10</x:v>
      </x:c>
      <x:c r="G26" s="9" t="n">
        <x:v>10</x:v>
      </x:c>
      <x:c r="H26" s="9" t="n">
        <x:v>6.72</x:v>
      </x:c>
      <x:c r="I26" s="9" t="n">
        <x:v>2.5714285714</x:v>
      </x:c>
      <x:c r="J26" s="9" t="n">
        <x:v>6.8333333333</x:v>
      </x:c>
      <x:c r="K26" s="9" t="n">
        <x:f>ROUND(SUM(C26:J26),2)</x:f>
        <x:v>66.42</x:v>
      </x:c>
      <x:c r="L26" s="1" t="str">
        <x:f>IF(K26&gt;=70,"High",IF(K26&gt;=45,"Medium","Low"))</x:f>
        <x:v>Medium</x:v>
      </x:c>
      <x:c r="M26" s="1"/>
      <x:c r="N26" s="1"/>
      <x:c r="O26" s="1"/>
      <x:c r="P26" s="1"/>
      <x:c r="Q26" s="1"/>
    </x:row>
    <x:row r="27" ht="22" customHeight="1">
      <x:c r="A27" s="1" t="str">
        <x:v>O0128</x:v>
      </x:c>
      <x:c r="B27" s="1" t="str">
        <x:v>Simulated Bengaluru Management Institute 128</x:v>
      </x:c>
      <x:c r="C27" s="9" t="n">
        <x:v>3.746</x:v>
      </x:c>
      <x:c r="D27" s="9" t="n">
        <x:v>9</x:v>
      </x:c>
      <x:c r="E27" s="9" t="n">
        <x:v>15</x:v>
      </x:c>
      <x:c r="F27" s="9" t="n">
        <x:v>7</x:v>
      </x:c>
      <x:c r="G27" s="9" t="n">
        <x:v>10</x:v>
      </x:c>
      <x:c r="H27" s="9" t="n">
        <x:v>2.63</x:v>
      </x:c>
      <x:c r="I27" s="9" t="n">
        <x:v>10</x:v>
      </x:c>
      <x:c r="J27" s="9" t="n">
        <x:v>8.1666666667</x:v>
      </x:c>
      <x:c r="K27" s="9" t="n">
        <x:f>ROUND(SUM(C27:J27),2)</x:f>
        <x:v>65.54</x:v>
      </x:c>
      <x:c r="L27" s="1" t="str">
        <x:f>IF(K27&gt;=70,"High",IF(K27&gt;=45,"Medium","Low"))</x:f>
        <x:v>Medium</x:v>
      </x:c>
      <x:c r="M27" s="1"/>
      <x:c r="N27" s="1"/>
      <x:c r="O27" s="1"/>
      <x:c r="P27" s="1"/>
      <x:c r="Q27" s="1"/>
    </x:row>
    <x:row r="28" ht="22" customHeight="1">
      <x:c r="A28" s="1" t="str">
        <x:v>O0130</x:v>
      </x:c>
      <x:c r="B28" s="1" t="str">
        <x:v>Simulated Hyderabad University 130</x:v>
      </x:c>
      <x:c r="C28" s="9" t="n">
        <x:v>11.807</x:v>
      </x:c>
      <x:c r="D28" s="9" t="n">
        <x:v>9</x:v>
      </x:c>
      <x:c r="E28" s="9" t="n">
        <x:v>7.5</x:v>
      </x:c>
      <x:c r="F28" s="9" t="n">
        <x:v>10</x:v>
      </x:c>
      <x:c r="G28" s="9" t="n">
        <x:v>10</x:v>
      </x:c>
      <x:c r="H28" s="9" t="n">
        <x:v>7.91</x:v>
      </x:c>
      <x:c r="I28" s="9" t="n">
        <x:v>4.2857142857</x:v>
      </x:c>
      <x:c r="J28" s="9" t="n">
        <x:v>4.8333333333</x:v>
      </x:c>
      <x:c r="K28" s="9" t="n">
        <x:f>ROUND(SUM(C28:J28),2)</x:f>
        <x:v>65.34</x:v>
      </x:c>
      <x:c r="L28" s="1" t="str">
        <x:f>IF(K28&gt;=70,"High",IF(K28&gt;=45,"Medium","Low"))</x:f>
        <x:v>Medium</x:v>
      </x:c>
      <x:c r="M28" s="1"/>
      <x:c r="N28" s="1"/>
      <x:c r="O28" s="1"/>
      <x:c r="P28" s="1"/>
      <x:c r="Q28" s="1"/>
    </x:row>
    <x:row r="29" ht="22" customHeight="1">
      <x:c r="A29" s="1" t="str">
        <x:v>O0232</x:v>
      </x:c>
      <x:c r="B29" s="1" t="str">
        <x:v>Simulated Jaipur University 232</x:v>
      </x:c>
      <x:c r="C29" s="9" t="n">
        <x:v>9.938</x:v>
      </x:c>
      <x:c r="D29" s="9" t="n">
        <x:v>8</x:v>
      </x:c>
      <x:c r="E29" s="9" t="n">
        <x:v>12.5</x:v>
      </x:c>
      <x:c r="F29" s="9" t="n">
        <x:v>10</x:v>
      </x:c>
      <x:c r="G29" s="9" t="n">
        <x:v>6</x:v>
      </x:c>
      <x:c r="H29" s="9" t="n">
        <x:v>6.58</x:v>
      </x:c>
      <x:c r="I29" s="9" t="n">
        <x:v>2.5714285714</x:v>
      </x:c>
      <x:c r="J29" s="9" t="n">
        <x:v>9.6666666667</x:v>
      </x:c>
      <x:c r="K29" s="9" t="n">
        <x:f>ROUND(SUM(C29:J29),2)</x:f>
        <x:v>65.26</x:v>
      </x:c>
      <x:c r="L29" s="1" t="str">
        <x:f>IF(K29&gt;=70,"High",IF(K29&gt;=45,"Medium","Low"))</x:f>
        <x:v>Medium</x:v>
      </x:c>
      <x:c r="M29" s="1"/>
      <x:c r="N29" s="1"/>
      <x:c r="O29" s="1"/>
      <x:c r="P29" s="1"/>
      <x:c r="Q29" s="1"/>
    </x:row>
    <x:row r="30" ht="22" customHeight="1">
      <x:c r="A30" s="1" t="str">
        <x:v>O0277</x:v>
      </x:c>
      <x:c r="B30" s="1" t="str">
        <x:v>Simulated Jaipur University 277</x:v>
      </x:c>
      <x:c r="C30" s="9" t="n">
        <x:v>9.58</x:v>
      </x:c>
      <x:c r="D30" s="9" t="n">
        <x:v>8</x:v>
      </x:c>
      <x:c r="E30" s="9" t="n">
        <x:v>8.75</x:v>
      </x:c>
      <x:c r="F30" s="9" t="n">
        <x:v>10</x:v>
      </x:c>
      <x:c r="G30" s="9" t="n">
        <x:v>6.4285714286</x:v>
      </x:c>
      <x:c r="H30" s="9" t="n">
        <x:v>6.3</x:v>
      </x:c>
      <x:c r="I30" s="9" t="n">
        <x:v>7.1428571429</x:v>
      </x:c>
      <x:c r="J30" s="9" t="n">
        <x:v>8.6666666667</x:v>
      </x:c>
      <x:c r="K30" s="9" t="n">
        <x:f>ROUND(SUM(C30:J30),2)</x:f>
        <x:v>64.87</x:v>
      </x:c>
      <x:c r="L30" s="1" t="str">
        <x:f>IF(K30&gt;=70,"High",IF(K30&gt;=45,"Medium","Low"))</x:f>
        <x:v>Medium</x:v>
      </x:c>
      <x:c r="M30" s="1"/>
      <x:c r="N30" s="1"/>
      <x:c r="O30" s="1"/>
      <x:c r="P30" s="1"/>
      <x:c r="Q30" s="1"/>
    </x:row>
    <x:row r="31" ht="22" customHeight="1">
      <x:c r="A31" s="1" t="str">
        <x:v>O0279</x:v>
      </x:c>
      <x:c r="B31" s="1" t="str">
        <x:v>Simulated Chennai University 279</x:v>
      </x:c>
      <x:c r="C31" s="9" t="n">
        <x:v>7.637</x:v>
      </x:c>
      <x:c r="D31" s="9" t="n">
        <x:v>9</x:v>
      </x:c>
      <x:c r="E31" s="9" t="n">
        <x:v>11.25</x:v>
      </x:c>
      <x:c r="F31" s="9" t="n">
        <x:v>10</x:v>
      </x:c>
      <x:c r="G31" s="9" t="n">
        <x:v>8.3333333333</x:v>
      </x:c>
      <x:c r="H31" s="9" t="n">
        <x:v>3.29</x:v>
      </x:c>
      <x:c r="I31" s="9" t="n">
        <x:v>7.1428571429</x:v>
      </x:c>
      <x:c r="J31" s="9" t="n">
        <x:v>8.1666666667</x:v>
      </x:c>
      <x:c r="K31" s="9" t="n">
        <x:f>ROUND(SUM(C31:J31),2)</x:f>
        <x:v>64.82</x:v>
      </x:c>
      <x:c r="L31" s="1" t="str">
        <x:f>IF(K31&gt;=70,"High",IF(K31&gt;=45,"Medium","Low"))</x:f>
        <x:v>Medium</x:v>
      </x:c>
      <x:c r="M31" s="1"/>
      <x:c r="N31" s="1"/>
      <x:c r="O31" s="1"/>
      <x:c r="P31" s="1"/>
      <x:c r="Q31" s="1"/>
    </x:row>
    <x:row r="32" ht="22" customHeight="1">
      <x:c r="A32" s="1" t="str">
        <x:v>O0097</x:v>
      </x:c>
      <x:c r="B32" s="1" t="str">
        <x:v>Simulated Jaipur University 097</x:v>
      </x:c>
      <x:c r="C32" s="9" t="n">
        <x:v>9.724</x:v>
      </x:c>
      <x:c r="D32" s="9" t="n">
        <x:v>8</x:v>
      </x:c>
      <x:c r="E32" s="9" t="n">
        <x:v>6.25</x:v>
      </x:c>
      <x:c r="F32" s="9" t="n">
        <x:v>10</x:v>
      </x:c>
      <x:c r="G32" s="9" t="n">
        <x:v>15</x:v>
      </x:c>
      <x:c r="H32" s="9" t="n">
        <x:v>6.24</x:v>
      </x:c>
      <x:c r="I32" s="9" t="n">
        <x:v>0.4285714286</x:v>
      </x:c>
      <x:c r="J32" s="9" t="n">
        <x:v>9</x:v>
      </x:c>
      <x:c r="K32" s="9" t="n">
        <x:f>ROUND(SUM(C32:J32),2)</x:f>
        <x:v>64.64</x:v>
      </x:c>
      <x:c r="L32" s="1" t="str">
        <x:f>IF(K32&gt;=70,"High",IF(K32&gt;=45,"Medium","Low"))</x:f>
        <x:v>Medium</x:v>
      </x:c>
      <x:c r="M32" s="1"/>
      <x:c r="N32" s="1"/>
      <x:c r="O32" s="1"/>
      <x:c r="P32" s="1"/>
      <x:c r="Q32" s="1"/>
    </x:row>
    <x:row r="33" ht="22" customHeight="1">
      <x:c r="A33" s="1" t="str">
        <x:v>O0438</x:v>
      </x:c>
      <x:c r="B33" s="1" t="str">
        <x:v>Simulated Gurugram University 438</x:v>
      </x:c>
      <x:c r="C33" s="9" t="n">
        <x:v>15</x:v>
      </x:c>
      <x:c r="D33" s="9" t="n">
        <x:v>8.5</x:v>
      </x:c>
      <x:c r="E33" s="9" t="n">
        <x:v>10</x:v>
      </x:c>
      <x:c r="F33" s="9" t="n">
        <x:v>10</x:v>
      </x:c>
      <x:c r="G33" s="9" t="n">
        <x:v>5.625</x:v>
      </x:c>
      <x:c r="H33" s="9" t="n">
        <x:v>5.23</x:v>
      </x:c>
      <x:c r="I33" s="9" t="n">
        <x:v>0.4285714286</x:v>
      </x:c>
      <x:c r="J33" s="9" t="n">
        <x:v>9.8333333333</x:v>
      </x:c>
      <x:c r="K33" s="9" t="n">
        <x:f>ROUND(SUM(C33:J33),2)</x:f>
        <x:v>64.62</x:v>
      </x:c>
      <x:c r="L33" s="1" t="str">
        <x:f>IF(K33&gt;=70,"High",IF(K33&gt;=45,"Medium","Low"))</x:f>
        <x:v>Medium</x:v>
      </x:c>
      <x:c r="M33" s="1"/>
      <x:c r="N33" s="1"/>
      <x:c r="O33" s="1"/>
      <x:c r="P33" s="1"/>
      <x:c r="Q33" s="1"/>
    </x:row>
    <x:row r="34" ht="22" customHeight="1">
      <x:c r="A34" s="1" t="str">
        <x:v>O0355</x:v>
      </x:c>
      <x:c r="B34" s="1" t="str">
        <x:v>Simulated Hyderabad University 355</x:v>
      </x:c>
      <x:c r="C34" s="9" t="n">
        <x:v>10.009</x:v>
      </x:c>
      <x:c r="D34" s="9" t="n">
        <x:v>9</x:v>
      </x:c>
      <x:c r="E34" s="9" t="n">
        <x:v>10</x:v>
      </x:c>
      <x:c r="F34" s="9" t="n">
        <x:v>10</x:v>
      </x:c>
      <x:c r="G34" s="9" t="n">
        <x:v>11.25</x:v>
      </x:c>
      <x:c r="H34" s="9" t="n">
        <x:v>3.36</x:v>
      </x:c>
      <x:c r="I34" s="9" t="n">
        <x:v>2.5714285714</x:v>
      </x:c>
      <x:c r="J34" s="9" t="n">
        <x:v>7.6666666667</x:v>
      </x:c>
      <x:c r="K34" s="9" t="n">
        <x:f>ROUND(SUM(C34:J34),2)</x:f>
        <x:v>63.86</x:v>
      </x:c>
      <x:c r="L34" s="1" t="str">
        <x:f>IF(K34&gt;=70,"High",IF(K34&gt;=45,"Medium","Low"))</x:f>
        <x:v>Medium</x:v>
      </x:c>
      <x:c r="M34" s="1"/>
      <x:c r="N34" s="1"/>
      <x:c r="O34" s="1"/>
      <x:c r="P34" s="1"/>
      <x:c r="Q34" s="1"/>
    </x:row>
    <x:row r="35" ht="22" customHeight="1">
      <x:c r="A35" s="1" t="str">
        <x:v>O0571</x:v>
      </x:c>
      <x:c r="B35" s="1" t="str">
        <x:v>Simulated New Delhi University 571</x:v>
      </x:c>
      <x:c r="C35" s="9" t="n">
        <x:v>15</x:v>
      </x:c>
      <x:c r="D35" s="9" t="n">
        <x:v>8.5</x:v>
      </x:c>
      <x:c r="E35" s="9" t="n">
        <x:v>5</x:v>
      </x:c>
      <x:c r="F35" s="9" t="n">
        <x:v>10</x:v>
      </x:c>
      <x:c r="G35" s="9" t="n">
        <x:v>3.75</x:v>
      </x:c>
      <x:c r="H35" s="9" t="n">
        <x:v>10.87</x:v>
      </x:c>
      <x:c r="I35" s="9" t="n">
        <x:v>2.5714285714</x:v>
      </x:c>
      <x:c r="J35" s="9" t="n">
        <x:v>8.1666666667</x:v>
      </x:c>
      <x:c r="K35" s="9" t="n">
        <x:f>ROUND(SUM(C35:J35),2)</x:f>
        <x:v>63.86</x:v>
      </x:c>
      <x:c r="L35" s="1" t="str">
        <x:f>IF(K35&gt;=70,"High",IF(K35&gt;=45,"Medium","Low"))</x:f>
        <x:v>Medium</x:v>
      </x:c>
      <x:c r="M35" s="1"/>
      <x:c r="N35" s="1"/>
      <x:c r="O35" s="1"/>
      <x:c r="P35" s="1"/>
      <x:c r="Q35" s="1"/>
    </x:row>
    <x:row r="36" ht="22" customHeight="1">
      <x:c r="A36" s="1" t="str">
        <x:v>O0293</x:v>
      </x:c>
      <x:c r="B36" s="1" t="str">
        <x:v>Simulated Bengaluru University 293</x:v>
      </x:c>
      <x:c r="C36" s="9" t="n">
        <x:v>11.133</x:v>
      </x:c>
      <x:c r="D36" s="9" t="n">
        <x:v>9</x:v>
      </x:c>
      <x:c r="E36" s="9" t="n">
        <x:v>11.25</x:v>
      </x:c>
      <x:c r="F36" s="9" t="n">
        <x:v>10</x:v>
      </x:c>
      <x:c r="G36" s="9" t="n">
        <x:v>10</x:v>
      </x:c>
      <x:c r="H36" s="9" t="n">
        <x:v>4.16</x:v>
      </x:c>
      <x:c r="I36" s="9" t="n">
        <x:v>0.4285714286</x:v>
      </x:c>
      <x:c r="J36" s="9" t="n">
        <x:v>7.6666666667</x:v>
      </x:c>
      <x:c r="K36" s="9" t="n">
        <x:f>ROUND(SUM(C36:J36),2)</x:f>
        <x:v>63.64</x:v>
      </x:c>
      <x:c r="L36" s="1" t="str">
        <x:f>IF(K36&gt;=70,"High",IF(K36&gt;=45,"Medium","Low"))</x:f>
        <x:v>Medium</x:v>
      </x:c>
      <x:c r="M36" s="1"/>
      <x:c r="N36" s="1"/>
      <x:c r="O36" s="1"/>
      <x:c r="P36" s="1"/>
      <x:c r="Q36" s="1"/>
    </x:row>
    <x:row r="37" ht="22" customHeight="1">
      <x:c r="A37" s="1" t="str">
        <x:v>O0313</x:v>
      </x:c>
      <x:c r="B37" s="1" t="str">
        <x:v>Simulated Patna University 313</x:v>
      </x:c>
      <x:c r="C37" s="9" t="n">
        <x:v>9.948</x:v>
      </x:c>
      <x:c r="D37" s="9" t="n">
        <x:v>6.5</x:v>
      </x:c>
      <x:c r="E37" s="9" t="n">
        <x:v>12.5</x:v>
      </x:c>
      <x:c r="F37" s="9" t="n">
        <x:v>10</x:v>
      </x:c>
      <x:c r="G37" s="9" t="n">
        <x:v>7.5</x:v>
      </x:c>
      <x:c r="H37" s="9" t="n">
        <x:v>3</x:v>
      </x:c>
      <x:c r="I37" s="9" t="n">
        <x:v>4.2857142857</x:v>
      </x:c>
      <x:c r="J37" s="9" t="n">
        <x:v>9.8333333333</x:v>
      </x:c>
      <x:c r="K37" s="9" t="n">
        <x:f>ROUND(SUM(C37:J37),2)</x:f>
        <x:v>63.57</x:v>
      </x:c>
      <x:c r="L37" s="1" t="str">
        <x:f>IF(K37&gt;=70,"High",IF(K37&gt;=45,"Medium","Low"))</x:f>
        <x:v>Medium</x:v>
      </x:c>
      <x:c r="M37" s="1"/>
      <x:c r="N37" s="1"/>
      <x:c r="O37" s="1"/>
      <x:c r="P37" s="1"/>
      <x:c r="Q37" s="1"/>
    </x:row>
    <x:row r="38" ht="22" customHeight="1">
      <x:c r="A38" s="1" t="str">
        <x:v>O0397</x:v>
      </x:c>
      <x:c r="B38" s="1" t="str">
        <x:v>Simulated Jaipur University 397</x:v>
      </x:c>
      <x:c r="C38" s="9" t="n">
        <x:v>13.238</x:v>
      </x:c>
      <x:c r="D38" s="9" t="n">
        <x:v>8</x:v>
      </x:c>
      <x:c r="E38" s="9" t="n">
        <x:v>8.75</x:v>
      </x:c>
      <x:c r="F38" s="9" t="n">
        <x:v>10</x:v>
      </x:c>
      <x:c r="G38" s="9" t="n">
        <x:v>10.7142857143</x:v>
      </x:c>
      <x:c r="H38" s="9" t="n">
        <x:v>7.14</x:v>
      </x:c>
      <x:c r="I38" s="9" t="n">
        <x:v>1.4285714286</x:v>
      </x:c>
      <x:c r="J38" s="9" t="n">
        <x:v>3.6666666667</x:v>
      </x:c>
      <x:c r="K38" s="9" t="n">
        <x:f>ROUND(SUM(C38:J38),2)</x:f>
        <x:v>62.94</x:v>
      </x:c>
      <x:c r="L38" s="1" t="str">
        <x:f>IF(K38&gt;=70,"High",IF(K38&gt;=45,"Medium","Low"))</x:f>
        <x:v>Medium</x:v>
      </x:c>
      <x:c r="M38" s="1"/>
      <x:c r="N38" s="1"/>
      <x:c r="O38" s="1"/>
      <x:c r="P38" s="1"/>
      <x:c r="Q38" s="1"/>
    </x:row>
    <x:row r="39" ht="22" customHeight="1">
      <x:c r="A39" s="1" t="str">
        <x:v>O0584</x:v>
      </x:c>
      <x:c r="B39" s="1" t="str">
        <x:v>Simulated Guwahati University 584</x:v>
      </x:c>
      <x:c r="C39" s="9" t="n">
        <x:v>7.562</x:v>
      </x:c>
      <x:c r="D39" s="9" t="n">
        <x:v>5.5</x:v>
      </x:c>
      <x:c r="E39" s="9" t="n">
        <x:v>15</x:v>
      </x:c>
      <x:c r="F39" s="9" t="n">
        <x:v>10</x:v>
      </x:c>
      <x:c r="G39" s="9" t="n">
        <x:v>7.5</x:v>
      </x:c>
      <x:c r="H39" s="9" t="n">
        <x:v>3.51</x:v>
      </x:c>
      <x:c r="I39" s="9" t="n">
        <x:v>4.2857142857</x:v>
      </x:c>
      <x:c r="J39" s="9" t="n">
        <x:v>9.3333333333</x:v>
      </x:c>
      <x:c r="K39" s="9" t="n">
        <x:f>ROUND(SUM(C39:J39),2)</x:f>
        <x:v>62.69</x:v>
      </x:c>
      <x:c r="L39" s="1" t="str">
        <x:f>IF(K39&gt;=70,"High",IF(K39&gt;=45,"Medium","Low"))</x:f>
        <x:v>Medium</x:v>
      </x:c>
      <x:c r="M39" s="1"/>
      <x:c r="N39" s="1"/>
      <x:c r="O39" s="1"/>
      <x:c r="P39" s="1"/>
      <x:c r="Q39" s="1"/>
    </x:row>
    <x:row r="40" ht="22" customHeight="1">
      <x:c r="A40" s="1" t="str">
        <x:v>O0204</x:v>
      </x:c>
      <x:c r="B40" s="1" t="str">
        <x:v>Simulated Chennai University 204</x:v>
      </x:c>
      <x:c r="C40" s="9" t="n">
        <x:v>15</x:v>
      </x:c>
      <x:c r="D40" s="9" t="n">
        <x:v>9</x:v>
      </x:c>
      <x:c r="E40" s="9" t="n">
        <x:v>5</x:v>
      </x:c>
      <x:c r="F40" s="9" t="n">
        <x:v>10</x:v>
      </x:c>
      <x:c r="G40" s="9" t="n">
        <x:v>3.75</x:v>
      </x:c>
      <x:c r="H40" s="9" t="n">
        <x:v>8.82</x:v>
      </x:c>
      <x:c r="I40" s="9" t="n">
        <x:v>0.4285714286</x:v>
      </x:c>
      <x:c r="J40" s="9" t="n">
        <x:v>10</x:v>
      </x:c>
      <x:c r="K40" s="9" t="n">
        <x:f>ROUND(SUM(C40:J40),2)</x:f>
        <x:v>62</x:v>
      </x:c>
      <x:c r="L40" s="1" t="str">
        <x:f>IF(K40&gt;=70,"High",IF(K40&gt;=45,"Medium","Low"))</x:f>
        <x:v>Medium</x:v>
      </x:c>
      <x:c r="M40" s="1"/>
      <x:c r="N40" s="1"/>
      <x:c r="O40" s="1"/>
      <x:c r="P40" s="1"/>
      <x:c r="Q40" s="1"/>
    </x:row>
    <x:row r="41" ht="22" customHeight="1">
      <x:c r="A41" s="1" t="str">
        <x:v>O0450</x:v>
      </x:c>
      <x:c r="B41" s="1" t="str">
        <x:v>Simulated Indore University 450</x:v>
      </x:c>
      <x:c r="C41" s="9" t="n">
        <x:v>12.618</x:v>
      </x:c>
      <x:c r="D41" s="9" t="n">
        <x:v>6.5</x:v>
      </x:c>
      <x:c r="E41" s="9" t="n">
        <x:v>11.25</x:v>
      </x:c>
      <x:c r="F41" s="9" t="n">
        <x:v>10</x:v>
      </x:c>
      <x:c r="G41" s="9" t="n">
        <x:v>8.3333333333</x:v>
      </x:c>
      <x:c r="H41" s="9" t="n">
        <x:v>3.36</x:v>
      </x:c>
      <x:c r="I41" s="9" t="n">
        <x:v>0.4285714286</x:v>
      </x:c>
      <x:c r="J41" s="9" t="n">
        <x:v>9.1666666667</x:v>
      </x:c>
      <x:c r="K41" s="9" t="n">
        <x:f>ROUND(SUM(C41:J41),2)</x:f>
        <x:v>61.66</x:v>
      </x:c>
      <x:c r="L41" s="1" t="str">
        <x:f>IF(K41&gt;=70,"High",IF(K41&gt;=45,"Medium","Low"))</x:f>
        <x:v>Medium</x:v>
      </x:c>
      <x:c r="M41" s="1"/>
      <x:c r="N41" s="1"/>
      <x:c r="O41" s="1"/>
      <x:c r="P41" s="1"/>
      <x:c r="Q41" s="1"/>
    </x:row>
    <x:row r="42" ht="22" customHeight="1">
      <x:c r="A42" s="1" t="str">
        <x:v>O0024</x:v>
      </x:c>
      <x:c r="B42" s="1" t="str">
        <x:v>Simulated Chennai University 024</x:v>
      </x:c>
      <x:c r="C42" s="9" t="n">
        <x:v>13.04</x:v>
      </x:c>
      <x:c r="D42" s="9" t="n">
        <x:v>9</x:v>
      </x:c>
      <x:c r="E42" s="9" t="n">
        <x:v>12.5</x:v>
      </x:c>
      <x:c r="F42" s="9" t="n">
        <x:v>10</x:v>
      </x:c>
      <x:c r="G42" s="9" t="n">
        <x:v>7.5</x:v>
      </x:c>
      <x:c r="H42" s="9" t="n">
        <x:v>9.14</x:v>
      </x:c>
      <x:c r="I42" s="9" t="n">
        <x:v>0.4285714286</x:v>
      </x:c>
      <x:c r="J42" s="9" t="n">
        <x:v>0</x:v>
      </x:c>
      <x:c r="K42" s="9" t="n">
        <x:f>ROUND(SUM(C42:J42),2)</x:f>
        <x:v>61.61</x:v>
      </x:c>
      <x:c r="L42" s="1" t="str">
        <x:f>IF(K42&gt;=70,"High",IF(K42&gt;=45,"Medium","Low"))</x:f>
        <x:v>Medium</x:v>
      </x:c>
      <x:c r="M42" s="1"/>
      <x:c r="N42" s="1"/>
      <x:c r="O42" s="1"/>
      <x:c r="P42" s="1"/>
      <x:c r="Q42" s="1"/>
    </x:row>
    <x:row r="43" ht="22" customHeight="1">
      <x:c r="A43" s="1" t="str">
        <x:v>O0074</x:v>
      </x:c>
      <x:c r="B43" s="1" t="str">
        <x:v>Simulated Guwahati University 074</x:v>
      </x:c>
      <x:c r="C43" s="9" t="n">
        <x:v>10.436</x:v>
      </x:c>
      <x:c r="D43" s="9" t="n">
        <x:v>5.5</x:v>
      </x:c>
      <x:c r="E43" s="9" t="n">
        <x:v>6.25</x:v>
      </x:c>
      <x:c r="F43" s="9" t="n">
        <x:v>10</x:v>
      </x:c>
      <x:c r="G43" s="9" t="n">
        <x:v>12</x:v>
      </x:c>
      <x:c r="H43" s="9" t="n">
        <x:v>7.12</x:v>
      </x:c>
      <x:c r="I43" s="9" t="n">
        <x:v>1.4285714286</x:v>
      </x:c>
      <x:c r="J43" s="9" t="n">
        <x:v>8.8333333333</x:v>
      </x:c>
      <x:c r="K43" s="9" t="n">
        <x:f>ROUND(SUM(C43:J43),2)</x:f>
        <x:v>61.57</x:v>
      </x:c>
      <x:c r="L43" s="1" t="str">
        <x:f>IF(K43&gt;=70,"High",IF(K43&gt;=45,"Medium","Low"))</x:f>
        <x:v>Medium</x:v>
      </x:c>
      <x:c r="M43" s="1"/>
      <x:c r="N43" s="1"/>
      <x:c r="O43" s="1"/>
      <x:c r="P43" s="1"/>
      <x:c r="Q43" s="1"/>
    </x:row>
    <x:row r="44" ht="22" customHeight="1">
      <x:c r="A44" s="1" t="str">
        <x:v>O0307</x:v>
      </x:c>
      <x:c r="B44" s="1" t="str">
        <x:v>Simulated Jaipur University 307</x:v>
      </x:c>
      <x:c r="C44" s="9" t="n">
        <x:v>15</x:v>
      </x:c>
      <x:c r="D44" s="9" t="n">
        <x:v>8</x:v>
      </x:c>
      <x:c r="E44" s="9" t="n">
        <x:v>7.5</x:v>
      </x:c>
      <x:c r="F44" s="9" t="n">
        <x:v>10</x:v>
      </x:c>
      <x:c r="G44" s="9" t="n">
        <x:v>10</x:v>
      </x:c>
      <x:c r="H44" s="9" t="n">
        <x:v>6.54</x:v>
      </x:c>
      <x:c r="I44" s="9" t="n">
        <x:v>4.2857142857</x:v>
      </x:c>
      <x:c r="J44" s="9" t="n">
        <x:v>0</x:v>
      </x:c>
      <x:c r="K44" s="9" t="n">
        <x:f>ROUND(SUM(C44:J44),2)</x:f>
        <x:v>61.33</x:v>
      </x:c>
      <x:c r="L44" s="1" t="str">
        <x:f>IF(K44&gt;=70,"High",IF(K44&gt;=45,"Medium","Low"))</x:f>
        <x:v>Medium</x:v>
      </x:c>
      <x:c r="M44" s="1"/>
      <x:c r="N44" s="1"/>
      <x:c r="O44" s="1"/>
      <x:c r="P44" s="1"/>
      <x:c r="Q44" s="1"/>
    </x:row>
    <x:row r="45" ht="22" customHeight="1">
      <x:c r="A45" s="1" t="str">
        <x:v>O0586</x:v>
      </x:c>
      <x:c r="B45" s="1" t="str">
        <x:v>Simulated New Delhi University 586</x:v>
      </x:c>
      <x:c r="C45" s="9" t="n">
        <x:v>8.224</x:v>
      </x:c>
      <x:c r="D45" s="9" t="n">
        <x:v>8.5</x:v>
      </x:c>
      <x:c r="E45" s="9" t="n">
        <x:v>13.75</x:v>
      </x:c>
      <x:c r="F45" s="9" t="n">
        <x:v>10</x:v>
      </x:c>
      <x:c r="G45" s="9" t="n">
        <x:v>9.5454545455</x:v>
      </x:c>
      <x:c r="H45" s="9" t="n">
        <x:v>2.65</x:v>
      </x:c>
      <x:c r="I45" s="9" t="n">
        <x:v>0.4285714286</x:v>
      </x:c>
      <x:c r="J45" s="9" t="n">
        <x:v>8</x:v>
      </x:c>
      <x:c r="K45" s="9" t="n">
        <x:f>ROUND(SUM(C45:J45),2)</x:f>
        <x:v>61.1</x:v>
      </x:c>
      <x:c r="L45" s="1" t="str">
        <x:f>IF(K45&gt;=70,"High",IF(K45&gt;=45,"Medium","Low"))</x:f>
        <x:v>Medium</x:v>
      </x:c>
      <x:c r="M45" s="1"/>
      <x:c r="N45" s="1"/>
      <x:c r="O45" s="1"/>
      <x:c r="P45" s="1"/>
      <x:c r="Q45" s="1"/>
    </x:row>
    <x:row r="46" ht="22" customHeight="1">
      <x:c r="A46" s="1" t="str">
        <x:v>O0181</x:v>
      </x:c>
      <x:c r="B46" s="1" t="str">
        <x:v>Simulated New Delhi University 181</x:v>
      </x:c>
      <x:c r="C46" s="9" t="n">
        <x:v>11.715</x:v>
      </x:c>
      <x:c r="D46" s="9" t="n">
        <x:v>8.5</x:v>
      </x:c>
      <x:c r="E46" s="9" t="n">
        <x:v>10</x:v>
      </x:c>
      <x:c r="F46" s="9" t="n">
        <x:v>10</x:v>
      </x:c>
      <x:c r="G46" s="9" t="n">
        <x:v>9.375</x:v>
      </x:c>
      <x:c r="H46" s="9" t="n">
        <x:v>6.23</x:v>
      </x:c>
      <x:c r="I46" s="9" t="n">
        <x:v>0.4285714286</x:v>
      </x:c>
      <x:c r="J46" s="9" t="n">
        <x:v>4.8333333333</x:v>
      </x:c>
      <x:c r="K46" s="9" t="n">
        <x:f>ROUND(SUM(C46:J46),2)</x:f>
        <x:v>61.08</x:v>
      </x:c>
      <x:c r="L46" s="1" t="str">
        <x:f>IF(K46&gt;=70,"High",IF(K46&gt;=45,"Medium","Low"))</x:f>
        <x:v>Medium</x:v>
      </x:c>
      <x:c r="M46" s="1"/>
      <x:c r="N46" s="1"/>
      <x:c r="O46" s="1"/>
      <x:c r="P46" s="1"/>
      <x:c r="Q46" s="1"/>
    </x:row>
    <x:row r="47" ht="22" customHeight="1">
      <x:c r="A47" s="1" t="str">
        <x:v>O0478</x:v>
      </x:c>
      <x:c r="B47" s="1" t="str">
        <x:v>Simulated Patna University 478</x:v>
      </x:c>
      <x:c r="C47" s="9" t="n">
        <x:v>12.684</x:v>
      </x:c>
      <x:c r="D47" s="9" t="n">
        <x:v>6.5</x:v>
      </x:c>
      <x:c r="E47" s="9" t="n">
        <x:v>7.5</x:v>
      </x:c>
      <x:c r="F47" s="9" t="n">
        <x:v>10</x:v>
      </x:c>
      <x:c r="G47" s="9" t="n">
        <x:v>10</x:v>
      </x:c>
      <x:c r="H47" s="9" t="n">
        <x:v>6.23</x:v>
      </x:c>
      <x:c r="I47" s="9" t="n">
        <x:v>0.4285714286</x:v>
      </x:c>
      <x:c r="J47" s="9" t="n">
        <x:v>7.6666666667</x:v>
      </x:c>
      <x:c r="K47" s="9" t="n">
        <x:f>ROUND(SUM(C47:J47),2)</x:f>
        <x:v>61.01</x:v>
      </x:c>
      <x:c r="L47" s="1" t="str">
        <x:f>IF(K47&gt;=70,"High",IF(K47&gt;=45,"Medium","Low"))</x:f>
        <x:v>Medium</x:v>
      </x:c>
      <x:c r="M47" s="1"/>
      <x:c r="N47" s="1"/>
      <x:c r="O47" s="1"/>
      <x:c r="P47" s="1"/>
      <x:c r="Q47" s="1"/>
    </x:row>
    <x:row r="48" ht="22" customHeight="1">
      <x:c r="A48" s="1" t="str">
        <x:v>O0524</x:v>
      </x:c>
      <x:c r="B48" s="1" t="str">
        <x:v>Simulated Guwahati University 524</x:v>
      </x:c>
      <x:c r="C48" s="9" t="n">
        <x:v>11.921</x:v>
      </x:c>
      <x:c r="D48" s="9" t="n">
        <x:v>5.5</x:v>
      </x:c>
      <x:c r="E48" s="9" t="n">
        <x:v>10</x:v>
      </x:c>
      <x:c r="F48" s="9" t="n">
        <x:v>10</x:v>
      </x:c>
      <x:c r="G48" s="9" t="n">
        <x:v>7.5</x:v>
      </x:c>
      <x:c r="H48" s="9" t="n">
        <x:v>6.35</x:v>
      </x:c>
      <x:c r="I48" s="9" t="n">
        <x:v>0.4285714286</x:v>
      </x:c>
      <x:c r="J48" s="9" t="n">
        <x:v>8.8333333333</x:v>
      </x:c>
      <x:c r="K48" s="9" t="n">
        <x:f>ROUND(SUM(C48:J48),2)</x:f>
        <x:v>60.53</x:v>
      </x:c>
      <x:c r="L48" s="1" t="str">
        <x:f>IF(K48&gt;=70,"High",IF(K48&gt;=45,"Medium","Low"))</x:f>
        <x:v>Medium</x:v>
      </x:c>
      <x:c r="M48" s="1"/>
      <x:c r="N48" s="1"/>
      <x:c r="O48" s="1"/>
      <x:c r="P48" s="1"/>
      <x:c r="Q48" s="1"/>
    </x:row>
    <x:row r="49" ht="22" customHeight="1">
      <x:c r="A49" s="1" t="str">
        <x:v>O0076</x:v>
      </x:c>
      <x:c r="B49" s="1" t="str">
        <x:v>Simulated New Delhi University 076</x:v>
      </x:c>
      <x:c r="C49" s="9" t="n">
        <x:v>10.556</x:v>
      </x:c>
      <x:c r="D49" s="9" t="n">
        <x:v>8.5</x:v>
      </x:c>
      <x:c r="E49" s="9" t="n">
        <x:v>8.75</x:v>
      </x:c>
      <x:c r="F49" s="9" t="n">
        <x:v>10</x:v>
      </x:c>
      <x:c r="G49" s="9" t="n">
        <x:v>8.5714285714</x:v>
      </x:c>
      <x:c r="H49" s="9" t="n">
        <x:v>6.06</x:v>
      </x:c>
      <x:c r="I49" s="9" t="n">
        <x:v>4.2857142857</x:v>
      </x:c>
      <x:c r="J49" s="9" t="n">
        <x:v>3.1666666667</x:v>
      </x:c>
      <x:c r="K49" s="9" t="n">
        <x:f>ROUND(SUM(C49:J49),2)</x:f>
        <x:v>59.89</x:v>
      </x:c>
      <x:c r="L49" s="1" t="str">
        <x:f>IF(K49&gt;=70,"High",IF(K49&gt;=45,"Medium","Low"))</x:f>
        <x:v>Medium</x:v>
      </x:c>
      <x:c r="M49" s="1"/>
      <x:c r="N49" s="1"/>
      <x:c r="O49" s="1"/>
      <x:c r="P49" s="1"/>
      <x:c r="Q49" s="1"/>
    </x:row>
    <x:row r="50" ht="22" customHeight="1">
      <x:c r="A50" s="1" t="str">
        <x:v>O0235</x:v>
      </x:c>
      <x:c r="B50" s="1" t="str">
        <x:v>Simulated Hyderabad Engineering College 235</x:v>
      </x:c>
      <x:c r="C50" s="9" t="n">
        <x:v>3.537</x:v>
      </x:c>
      <x:c r="D50" s="9" t="n">
        <x:v>9</x:v>
      </x:c>
      <x:c r="E50" s="9" t="n">
        <x:v>11.25</x:v>
      </x:c>
      <x:c r="F50" s="9" t="n">
        <x:v>7</x:v>
      </x:c>
      <x:c r="G50" s="9" t="n">
        <x:v>11.6666666667</x:v>
      </x:c>
      <x:c r="H50" s="9" t="n">
        <x:v>2.18</x:v>
      </x:c>
      <x:c r="I50" s="9" t="n">
        <x:v>7.1428571429</x:v>
      </x:c>
      <x:c r="J50" s="9" t="n">
        <x:v>8</x:v>
      </x:c>
      <x:c r="K50" s="9" t="n">
        <x:f>ROUND(SUM(C50:J50),2)</x:f>
        <x:v>59.78</x:v>
      </x:c>
      <x:c r="L50" s="1" t="str">
        <x:f>IF(K50&gt;=70,"High",IF(K50&gt;=45,"Medium","Low"))</x:f>
        <x:v>Medium</x:v>
      </x:c>
      <x:c r="M50" s="1"/>
      <x:c r="N50" s="1"/>
      <x:c r="O50" s="1"/>
      <x:c r="P50" s="1"/>
      <x:c r="Q50" s="1"/>
    </x:row>
    <x:row r="51" ht="22" customHeight="1">
      <x:c r="A51" s="1" t="str">
        <x:v>O0519</x:v>
      </x:c>
      <x:c r="B51" s="1" t="str">
        <x:v>Simulated Chennai Engineering College 519</x:v>
      </x:c>
      <x:c r="C51" s="9" t="n">
        <x:v>5.869</x:v>
      </x:c>
      <x:c r="D51" s="9" t="n">
        <x:v>9</x:v>
      </x:c>
      <x:c r="E51" s="9" t="n">
        <x:v>6.25</x:v>
      </x:c>
      <x:c r="F51" s="9" t="n">
        <x:v>7</x:v>
      </x:c>
      <x:c r="G51" s="9" t="n">
        <x:v>15</x:v>
      </x:c>
      <x:c r="H51" s="9" t="n">
        <x:v>2.82</x:v>
      </x:c>
      <x:c r="I51" s="9" t="n">
        <x:v>7.1428571429</x:v>
      </x:c>
      <x:c r="J51" s="9" t="n">
        <x:v>6.6666666667</x:v>
      </x:c>
      <x:c r="K51" s="9" t="n">
        <x:f>ROUND(SUM(C51:J51),2)</x:f>
        <x:v>59.75</x:v>
      </x:c>
      <x:c r="L51" s="1" t="str">
        <x:f>IF(K51&gt;=70,"High",IF(K51&gt;=45,"Medium","Low"))</x:f>
        <x:v>Medium</x:v>
      </x:c>
      <x:c r="M51" s="1"/>
      <x:c r="N51" s="1"/>
      <x:c r="O51" s="1"/>
      <x:c r="P51" s="1"/>
      <x:c r="Q51" s="1"/>
    </x:row>
    <x:row r="52" ht="22" customHeight="1">
      <x:c r="A52" s="1" t="str">
        <x:v>O0247</x:v>
      </x:c>
      <x:c r="B52" s="1" t="str">
        <x:v>Simulated Jaipur University 247</x:v>
      </x:c>
      <x:c r="C52" s="9" t="n">
        <x:v>15</x:v>
      </x:c>
      <x:c r="D52" s="9" t="n">
        <x:v>8</x:v>
      </x:c>
      <x:c r="E52" s="9" t="n">
        <x:v>6.25</x:v>
      </x:c>
      <x:c r="F52" s="9" t="n">
        <x:v>10</x:v>
      </x:c>
      <x:c r="G52" s="9" t="n">
        <x:v>6</x:v>
      </x:c>
      <x:c r="H52" s="9" t="n">
        <x:v>9.51</x:v>
      </x:c>
      <x:c r="I52" s="9" t="n">
        <x:v>0.4285714286</x:v>
      </x:c>
      <x:c r="J52" s="9" t="n">
        <x:v>4.3333333333</x:v>
      </x:c>
      <x:c r="K52" s="9" t="n">
        <x:f>ROUND(SUM(C52:J52),2)</x:f>
        <x:v>59.52</x:v>
      </x:c>
      <x:c r="L52" s="1" t="str">
        <x:f>IF(K52&gt;=70,"High",IF(K52&gt;=45,"Medium","Low"))</x:f>
        <x:v>Medium</x:v>
      </x:c>
      <x:c r="M52" s="1"/>
      <x:c r="N52" s="1"/>
      <x:c r="O52" s="1"/>
      <x:c r="P52" s="1"/>
      <x:c r="Q52" s="1"/>
    </x:row>
    <x:row r="53" ht="22" customHeight="1">
      <x:c r="A53" s="1" t="str">
        <x:v>O0036</x:v>
      </x:c>
      <x:c r="B53" s="1" t="str">
        <x:v>Simulated Ahmedabad University 036</x:v>
      </x:c>
      <x:c r="C53" s="9" t="n">
        <x:v>12.328</x:v>
      </x:c>
      <x:c r="D53" s="9" t="n">
        <x:v>8</x:v>
      </x:c>
      <x:c r="E53" s="9" t="n">
        <x:v>8.75</x:v>
      </x:c>
      <x:c r="F53" s="9" t="n">
        <x:v>10</x:v>
      </x:c>
      <x:c r="G53" s="9" t="n">
        <x:v>4.2857142857</x:v>
      </x:c>
      <x:c r="H53" s="9" t="n">
        <x:v>8.31</x:v>
      </x:c>
      <x:c r="I53" s="9" t="n">
        <x:v>7.1428571429</x:v>
      </x:c>
      <x:c r="J53" s="9" t="n">
        <x:v>0</x:v>
      </x:c>
      <x:c r="K53" s="9" t="n">
        <x:f>ROUND(SUM(C53:J53),2)</x:f>
        <x:v>58.82</x:v>
      </x:c>
      <x:c r="L53" s="1" t="str">
        <x:f>IF(K53&gt;=70,"High",IF(K53&gt;=45,"Medium","Low"))</x:f>
        <x:v>Medium</x:v>
      </x:c>
      <x:c r="M53" s="1"/>
      <x:c r="N53" s="1"/>
      <x:c r="O53" s="1"/>
      <x:c r="P53" s="1"/>
      <x:c r="Q53" s="1"/>
    </x:row>
    <x:row r="54" ht="22" customHeight="1">
      <x:c r="A54" s="1" t="str">
        <x:v>O0003</x:v>
      </x:c>
      <x:c r="B54" s="1" t="str">
        <x:v>Simulated Gurugram Engineering College 003</x:v>
      </x:c>
      <x:c r="C54" s="9" t="n">
        <x:v>3.904</x:v>
      </x:c>
      <x:c r="D54" s="9" t="n">
        <x:v>8.5</x:v>
      </x:c>
      <x:c r="E54" s="9" t="n">
        <x:v>13.75</x:v>
      </x:c>
      <x:c r="F54" s="9" t="n">
        <x:v>7</x:v>
      </x:c>
      <x:c r="G54" s="9" t="n">
        <x:v>12.2727272727</x:v>
      </x:c>
      <x:c r="H54" s="9" t="n">
        <x:v>2.58</x:v>
      </x:c>
      <x:c r="I54" s="9" t="n">
        <x:v>0.4285714286</x:v>
      </x:c>
      <x:c r="J54" s="9" t="n">
        <x:v>9.8333333333</x:v>
      </x:c>
      <x:c r="K54" s="9" t="n">
        <x:f>ROUND(SUM(C54:J54),2)</x:f>
        <x:v>58.27</x:v>
      </x:c>
      <x:c r="L54" s="1" t="str">
        <x:f>IF(K54&gt;=70,"High",IF(K54&gt;=45,"Medium","Low"))</x:f>
        <x:v>Medium</x:v>
      </x:c>
      <x:c r="M54" s="1"/>
      <x:c r="N54" s="1"/>
      <x:c r="O54" s="1"/>
      <x:c r="P54" s="1"/>
      <x:c r="Q54" s="1"/>
    </x:row>
    <x:row r="55" ht="22" customHeight="1">
      <x:c r="A55" s="1" t="str">
        <x:v>O0162</x:v>
      </x:c>
      <x:c r="B55" s="1" t="str">
        <x:v>Simulated Bhubaneswar University 162</x:v>
      </x:c>
      <x:c r="C55" s="9" t="n">
        <x:v>9.993</x:v>
      </x:c>
      <x:c r="D55" s="9" t="n">
        <x:v>6.5</x:v>
      </x:c>
      <x:c r="E55" s="9" t="n">
        <x:v>11.25</x:v>
      </x:c>
      <x:c r="F55" s="9" t="n">
        <x:v>10</x:v>
      </x:c>
      <x:c r="G55" s="9" t="n">
        <x:v>10</x:v>
      </x:c>
      <x:c r="H55" s="9" t="n">
        <x:v>3.08</x:v>
      </x:c>
      <x:c r="I55" s="9" t="n">
        <x:v>1.4285714286</x:v>
      </x:c>
      <x:c r="J55" s="9" t="n">
        <x:v>6</x:v>
      </x:c>
      <x:c r="K55" s="9" t="n">
        <x:f>ROUND(SUM(C55:J55),2)</x:f>
        <x:v>58.25</x:v>
      </x:c>
      <x:c r="L55" s="1" t="str">
        <x:f>IF(K55&gt;=70,"High",IF(K55&gt;=45,"Medium","Low"))</x:f>
        <x:v>Medium</x:v>
      </x:c>
      <x:c r="M55" s="1"/>
      <x:c r="N55" s="1"/>
      <x:c r="O55" s="1"/>
      <x:c r="P55" s="1"/>
      <x:c r="Q55" s="1"/>
    </x:row>
    <x:row r="56" ht="22" customHeight="1">
      <x:c r="A56" s="1" t="str">
        <x:v>O0561</x:v>
      </x:c>
      <x:c r="B56" s="1" t="str">
        <x:v>Simulated Ahmedabad Management Institute 561</x:v>
      </x:c>
      <x:c r="C56" s="9" t="n">
        <x:v>4.924</x:v>
      </x:c>
      <x:c r="D56" s="9" t="n">
        <x:v>8</x:v>
      </x:c>
      <x:c r="E56" s="9" t="n">
        <x:v>15</x:v>
      </x:c>
      <x:c r="F56" s="9" t="n">
        <x:v>7</x:v>
      </x:c>
      <x:c r="G56" s="9" t="n">
        <x:v>8.75</x:v>
      </x:c>
      <x:c r="H56" s="9" t="n">
        <x:v>3.12</x:v>
      </x:c>
      <x:c r="I56" s="9" t="n">
        <x:v>1.4285714286</x:v>
      </x:c>
      <x:c r="J56" s="9" t="n">
        <x:v>10</x:v>
      </x:c>
      <x:c r="K56" s="9" t="n">
        <x:f>ROUND(SUM(C56:J56),2)</x:f>
        <x:v>58.22</x:v>
      </x:c>
      <x:c r="L56" s="1" t="str">
        <x:f>IF(K56&gt;=70,"High",IF(K56&gt;=45,"Medium","Low"))</x:f>
        <x:v>Medium</x:v>
      </x:c>
      <x:c r="M56" s="1"/>
      <x:c r="N56" s="1"/>
      <x:c r="O56" s="1"/>
      <x:c r="P56" s="1"/>
      <x:c r="Q56" s="1"/>
    </x:row>
    <x:row r="57" ht="22" customHeight="1">
      <x:c r="A57" s="1" t="str">
        <x:v>O0190</x:v>
      </x:c>
      <x:c r="B57" s="1" t="str">
        <x:v>Simulated Hyderabad Engineering College 190</x:v>
      </x:c>
      <x:c r="C57" s="9" t="n">
        <x:v>1.453</x:v>
      </x:c>
      <x:c r="D57" s="9" t="n">
        <x:v>9</x:v>
      </x:c>
      <x:c r="E57" s="9" t="n">
        <x:v>13.75</x:v>
      </x:c>
      <x:c r="F57" s="9" t="n">
        <x:v>4</x:v>
      </x:c>
      <x:c r="G57" s="9" t="n">
        <x:v>10.9090909091</x:v>
      </x:c>
      <x:c r="H57" s="9" t="n">
        <x:v>1.63</x:v>
      </x:c>
      <x:c r="I57" s="9" t="n">
        <x:v>7.1428571429</x:v>
      </x:c>
      <x:c r="J57" s="9" t="n">
        <x:v>10</x:v>
      </x:c>
      <x:c r="K57" s="9" t="n">
        <x:f>ROUND(SUM(C57:J57),2)</x:f>
        <x:v>57.88</x:v>
      </x:c>
      <x:c r="L57" s="1" t="str">
        <x:f>IF(K57&gt;=70,"High",IF(K57&gt;=45,"Medium","Low"))</x:f>
        <x:v>Medium</x:v>
      </x:c>
      <x:c r="M57" s="1"/>
      <x:c r="N57" s="1"/>
      <x:c r="O57" s="1"/>
      <x:c r="P57" s="1"/>
      <x:c r="Q57" s="1"/>
    </x:row>
    <x:row r="58" ht="22" customHeight="1">
      <x:c r="A58" s="1" t="str">
        <x:v>O0143</x:v>
      </x:c>
      <x:c r="B58" s="1" t="str">
        <x:v>Simulated Bengaluru Engineering College 143</x:v>
      </x:c>
      <x:c r="C58" s="9" t="n">
        <x:v>5.01</x:v>
      </x:c>
      <x:c r="D58" s="9" t="n">
        <x:v>9</x:v>
      </x:c>
      <x:c r="E58" s="9" t="n">
        <x:v>15</x:v>
      </x:c>
      <x:c r="F58" s="9" t="n">
        <x:v>7</x:v>
      </x:c>
      <x:c r="G58" s="9" t="n">
        <x:v>8.75</x:v>
      </x:c>
      <x:c r="H58" s="9" t="n">
        <x:v>2.63</x:v>
      </x:c>
      <x:c r="I58" s="9" t="n">
        <x:v>0.4285714286</x:v>
      </x:c>
      <x:c r="J58" s="9" t="n">
        <x:v>9.8333333333</x:v>
      </x:c>
      <x:c r="K58" s="9" t="n">
        <x:f>ROUND(SUM(C58:J58),2)</x:f>
        <x:v>57.65</x:v>
      </x:c>
      <x:c r="L58" s="1" t="str">
        <x:f>IF(K58&gt;=70,"High",IF(K58&gt;=45,"Medium","Low"))</x:f>
        <x:v>Medium</x:v>
      </x:c>
      <x:c r="M58" s="1"/>
      <x:c r="N58" s="1"/>
      <x:c r="O58" s="1"/>
      <x:c r="P58" s="1"/>
      <x:c r="Q58" s="1"/>
    </x:row>
    <x:row r="59" ht="22" customHeight="1">
      <x:c r="A59" s="1" t="str">
        <x:v>O0416</x:v>
      </x:c>
      <x:c r="B59" s="1" t="str">
        <x:v>Simulated Kolkata Engineering College 416</x:v>
      </x:c>
      <x:c r="C59" s="9" t="n">
        <x:v>5.558</x:v>
      </x:c>
      <x:c r="D59" s="9" t="n">
        <x:v>6.5</x:v>
      </x:c>
      <x:c r="E59" s="9" t="n">
        <x:v>12.5</x:v>
      </x:c>
      <x:c r="F59" s="9" t="n">
        <x:v>7</x:v>
      </x:c>
      <x:c r="G59" s="9" t="n">
        <x:v>10.5</x:v>
      </x:c>
      <x:c r="H59" s="9" t="n">
        <x:v>4.1</x:v>
      </x:c>
      <x:c r="I59" s="9" t="n">
        <x:v>1.4285714286</x:v>
      </x:c>
      <x:c r="J59" s="9" t="n">
        <x:v>9.8333333333</x:v>
      </x:c>
      <x:c r="K59" s="9" t="n">
        <x:f>ROUND(SUM(C59:J59),2)</x:f>
        <x:v>57.42</x:v>
      </x:c>
      <x:c r="L59" s="1" t="str">
        <x:f>IF(K59&gt;=70,"High",IF(K59&gt;=45,"Medium","Low"))</x:f>
        <x:v>Medium</x:v>
      </x:c>
      <x:c r="M59" s="1"/>
      <x:c r="N59" s="1"/>
      <x:c r="O59" s="1"/>
      <x:c r="P59" s="1"/>
      <x:c r="Q59" s="1"/>
    </x:row>
    <x:row r="60" ht="22" customHeight="1">
      <x:c r="A60" s="1" t="str">
        <x:v>O0172</x:v>
      </x:c>
      <x:c r="B60" s="1" t="str">
        <x:v>Simulated Jaipur Arts and Science College 172</x:v>
      </x:c>
      <x:c r="C60" s="9" t="n">
        <x:v>4.746</x:v>
      </x:c>
      <x:c r="D60" s="9" t="n">
        <x:v>8</x:v>
      </x:c>
      <x:c r="E60" s="9" t="n">
        <x:v>15</x:v>
      </x:c>
      <x:c r="F60" s="9" t="n">
        <x:v>7</x:v>
      </x:c>
      <x:c r="G60" s="9" t="n">
        <x:v>7.5</x:v>
      </x:c>
      <x:c r="H60" s="9" t="n">
        <x:v>2.58</x:v>
      </x:c>
      <x:c r="I60" s="9" t="n">
        <x:v>2.5714285714</x:v>
      </x:c>
      <x:c r="J60" s="9" t="n">
        <x:v>10</x:v>
      </x:c>
      <x:c r="K60" s="9" t="n">
        <x:f>ROUND(SUM(C60:J60),2)</x:f>
        <x:v>57.4</x:v>
      </x:c>
      <x:c r="L60" s="1" t="str">
        <x:f>IF(K60&gt;=70,"High",IF(K60&gt;=45,"Medium","Low"))</x:f>
        <x:v>Medium</x:v>
      </x:c>
      <x:c r="M60" s="1"/>
      <x:c r="N60" s="1"/>
      <x:c r="O60" s="1"/>
      <x:c r="P60" s="1"/>
      <x:c r="Q60" s="1"/>
    </x:row>
    <x:row r="61" ht="22" customHeight="1">
      <x:c r="A61" s="1" t="str">
        <x:v>O0400</x:v>
      </x:c>
      <x:c r="B61" s="1" t="str">
        <x:v>Simulated Hyderabad University 400</x:v>
      </x:c>
      <x:c r="C61" s="9" t="n">
        <x:v>7.726</x:v>
      </x:c>
      <x:c r="D61" s="9" t="n">
        <x:v>9</x:v>
      </x:c>
      <x:c r="E61" s="9" t="n">
        <x:v>13.75</x:v>
      </x:c>
      <x:c r="F61" s="9" t="n">
        <x:v>10</x:v>
      </x:c>
      <x:c r="G61" s="9" t="n">
        <x:v>4.0909090909</x:v>
      </x:c>
      <x:c r="H61" s="9" t="n">
        <x:v>2.7</x:v>
      </x:c>
      <x:c r="I61" s="9" t="n">
        <x:v>2.5714285714</x:v>
      </x:c>
      <x:c r="J61" s="9" t="n">
        <x:v>7.5</x:v>
      </x:c>
      <x:c r="K61" s="9" t="n">
        <x:f>ROUND(SUM(C61:J61),2)</x:f>
        <x:v>57.34</x:v>
      </x:c>
      <x:c r="L61" s="1" t="str">
        <x:f>IF(K61&gt;=70,"High",IF(K61&gt;=45,"Medium","Low"))</x:f>
        <x:v>Medium</x:v>
      </x:c>
      <x:c r="M61" s="1"/>
      <x:c r="N61" s="1"/>
      <x:c r="O61" s="1"/>
      <x:c r="P61" s="1"/>
      <x:c r="Q61" s="1"/>
    </x:row>
    <x:row r="62" ht="22" customHeight="1">
      <x:c r="A62" s="1" t="str">
        <x:v>O0173</x:v>
      </x:c>
      <x:c r="B62" s="1" t="str">
        <x:v>Simulated Bengaluru University 173</x:v>
      </x:c>
      <x:c r="C62" s="9" t="n">
        <x:v>5.072</x:v>
      </x:c>
      <x:c r="D62" s="9" t="n">
        <x:v>9</x:v>
      </x:c>
      <x:c r="E62" s="9" t="n">
        <x:v>13.75</x:v>
      </x:c>
      <x:c r="F62" s="9" t="n">
        <x:v>7</x:v>
      </x:c>
      <x:c r="G62" s="9" t="n">
        <x:v>10.9090909091</x:v>
      </x:c>
      <x:c r="H62" s="9" t="n">
        <x:v>4.2</x:v>
      </x:c>
      <x:c r="I62" s="9" t="n">
        <x:v>1.4285714286</x:v>
      </x:c>
      <x:c r="J62" s="9" t="n">
        <x:v>5.8333333333</x:v>
      </x:c>
      <x:c r="K62" s="9" t="n">
        <x:f>ROUND(SUM(C62:J62),2)</x:f>
        <x:v>57.19</x:v>
      </x:c>
      <x:c r="L62" s="1" t="str">
        <x:f>IF(K62&gt;=70,"High",IF(K62&gt;=45,"Medium","Low"))</x:f>
        <x:v>Medium</x:v>
      </x:c>
      <x:c r="M62" s="1"/>
      <x:c r="N62" s="1"/>
      <x:c r="O62" s="1"/>
      <x:c r="P62" s="1"/>
      <x:c r="Q62" s="1"/>
    </x:row>
    <x:row r="63" ht="22" customHeight="1">
      <x:c r="A63" s="1" t="str">
        <x:v>O0548</x:v>
      </x:c>
      <x:c r="B63" s="1" t="str">
        <x:v>Simulated Bengaluru Arts and Science College 548</x:v>
      </x:c>
      <x:c r="C63" s="9" t="n">
        <x:v>5.88</x:v>
      </x:c>
      <x:c r="D63" s="9" t="n">
        <x:v>9</x:v>
      </x:c>
      <x:c r="E63" s="9" t="n">
        <x:v>8.75</x:v>
      </x:c>
      <x:c r="F63" s="9" t="n">
        <x:v>7</x:v>
      </x:c>
      <x:c r="G63" s="9" t="n">
        <x:v>12.8571428571</x:v>
      </x:c>
      <x:c r="H63" s="9" t="n">
        <x:v>3.17</x:v>
      </x:c>
      <x:c r="I63" s="9" t="n">
        <x:v>0.4285714286</x:v>
      </x:c>
      <x:c r="J63" s="9" t="n">
        <x:v>10</x:v>
      </x:c>
      <x:c r="K63" s="9" t="n">
        <x:f>ROUND(SUM(C63:J63),2)</x:f>
        <x:v>57.09</x:v>
      </x:c>
      <x:c r="L63" s="1" t="str">
        <x:f>IF(K63&gt;=70,"High",IF(K63&gt;=45,"Medium","Low"))</x:f>
        <x:v>Medium</x:v>
      </x:c>
      <x:c r="M63" s="1"/>
      <x:c r="N63" s="1"/>
      <x:c r="O63" s="1"/>
      <x:c r="P63" s="1"/>
      <x:c r="Q63" s="1"/>
    </x:row>
    <x:row r="64" ht="22" customHeight="1">
      <x:c r="A64" s="1" t="str">
        <x:v>O0039</x:v>
      </x:c>
      <x:c r="B64" s="1" t="str">
        <x:v>Simulated Chennai Management Institute 039</x:v>
      </x:c>
      <x:c r="C64" s="9" t="n">
        <x:v>3.464</x:v>
      </x:c>
      <x:c r="D64" s="9" t="n">
        <x:v>9</x:v>
      </x:c>
      <x:c r="E64" s="9" t="n">
        <x:v>12.5</x:v>
      </x:c>
      <x:c r="F64" s="9" t="n">
        <x:v>7</x:v>
      </x:c>
      <x:c r="G64" s="9" t="n">
        <x:v>10.5</x:v>
      </x:c>
      <x:c r="H64" s="9" t="n">
        <x:v>2.59</x:v>
      </x:c>
      <x:c r="I64" s="9" t="n">
        <x:v>2.5714285714</x:v>
      </x:c>
      <x:c r="J64" s="9" t="n">
        <x:v>9.3333333333</x:v>
      </x:c>
      <x:c r="K64" s="9" t="n">
        <x:f>ROUND(SUM(C64:J64),2)</x:f>
        <x:v>56.96</x:v>
      </x:c>
      <x:c r="L64" s="1" t="str">
        <x:f>IF(K64&gt;=70,"High",IF(K64&gt;=45,"Medium","Low"))</x:f>
        <x:v>Medium</x:v>
      </x:c>
      <x:c r="M64" s="1"/>
      <x:c r="N64" s="1"/>
      <x:c r="O64" s="1"/>
      <x:c r="P64" s="1"/>
      <x:c r="Q64" s="1"/>
    </x:row>
    <x:row r="65" ht="22" customHeight="1">
      <x:c r="A65" s="1" t="str">
        <x:v>O0394</x:v>
      </x:c>
      <x:c r="B65" s="1" t="str">
        <x:v>Simulated Ludhiana Management Institute 394</x:v>
      </x:c>
      <x:c r="C65" s="9" t="n">
        <x:v>2.672</x:v>
      </x:c>
      <x:c r="D65" s="9" t="n">
        <x:v>8.5</x:v>
      </x:c>
      <x:c r="E65" s="9" t="n">
        <x:v>15</x:v>
      </x:c>
      <x:c r="F65" s="9" t="n">
        <x:v>7</x:v>
      </x:c>
      <x:c r="G65" s="9" t="n">
        <x:v>10</x:v>
      </x:c>
      <x:c r="H65" s="9" t="n">
        <x:v>1.82</x:v>
      </x:c>
      <x:c r="I65" s="9" t="n">
        <x:v>2.5714285714</x:v>
      </x:c>
      <x:c r="J65" s="9" t="n">
        <x:v>9.3333333333</x:v>
      </x:c>
      <x:c r="K65" s="9" t="n">
        <x:f>ROUND(SUM(C65:J65),2)</x:f>
        <x:v>56.9</x:v>
      </x:c>
      <x:c r="L65" s="1" t="str">
        <x:f>IF(K65&gt;=70,"High",IF(K65&gt;=45,"Medium","Low"))</x:f>
        <x:v>Medium</x:v>
      </x:c>
      <x:c r="M65" s="1"/>
      <x:c r="N65" s="1"/>
      <x:c r="O65" s="1"/>
      <x:c r="P65" s="1"/>
      <x:c r="Q65" s="1"/>
    </x:row>
    <x:row r="66" ht="22" customHeight="1">
      <x:c r="A66" s="1" t="str">
        <x:v>O0558</x:v>
      </x:c>
      <x:c r="B66" s="1" t="str">
        <x:v>Simulated Gurugram Management Institute 558</x:v>
      </x:c>
      <x:c r="C66" s="9" t="n">
        <x:v>2.936</x:v>
      </x:c>
      <x:c r="D66" s="9" t="n">
        <x:v>8.5</x:v>
      </x:c>
      <x:c r="E66" s="9" t="n">
        <x:v>13.75</x:v>
      </x:c>
      <x:c r="F66" s="9" t="n">
        <x:v>7</x:v>
      </x:c>
      <x:c r="G66" s="9" t="n">
        <x:v>8.1818181818</x:v>
      </x:c>
      <x:c r="H66" s="9" t="n">
        <x:v>2.61</x:v>
      </x:c>
      <x:c r="I66" s="9" t="n">
        <x:v>4.2857142857</x:v>
      </x:c>
      <x:c r="J66" s="9" t="n">
        <x:v>9.5</x:v>
      </x:c>
      <x:c r="K66" s="9" t="n">
        <x:f>ROUND(SUM(C66:J66),2)</x:f>
        <x:v>56.76</x:v>
      </x:c>
      <x:c r="L66" s="1" t="str">
        <x:f>IF(K66&gt;=70,"High",IF(K66&gt;=45,"Medium","Low"))</x:f>
        <x:v>Medium</x:v>
      </x:c>
      <x:c r="M66" s="1"/>
      <x:c r="N66" s="1"/>
      <x:c r="O66" s="1"/>
      <x:c r="P66" s="1"/>
      <x:c r="Q66" s="1"/>
    </x:row>
    <x:row r="67" ht="22" customHeight="1">
      <x:c r="A67" s="1" t="str">
        <x:v>O0549</x:v>
      </x:c>
      <x:c r="B67" s="1" t="str">
        <x:v>Simulated Chennai Engineering College 549</x:v>
      </x:c>
      <x:c r="C67" s="9" t="n">
        <x:v>4.216</x:v>
      </x:c>
      <x:c r="D67" s="9" t="n">
        <x:v>9</x:v>
      </x:c>
      <x:c r="E67" s="9" t="n">
        <x:v>8.75</x:v>
      </x:c>
      <x:c r="F67" s="9" t="n">
        <x:v>7</x:v>
      </x:c>
      <x:c r="G67" s="9" t="n">
        <x:v>10.7142857143</x:v>
      </x:c>
      <x:c r="H67" s="9" t="n">
        <x:v>2.74</x:v>
      </x:c>
      <x:c r="I67" s="9" t="n">
        <x:v>4.2857142857</x:v>
      </x:c>
      <x:c r="J67" s="9" t="n">
        <x:v>10</x:v>
      </x:c>
      <x:c r="K67" s="9" t="n">
        <x:f>ROUND(SUM(C67:J67),2)</x:f>
        <x:v>56.71</x:v>
      </x:c>
      <x:c r="L67" s="1" t="str">
        <x:f>IF(K67&gt;=70,"High",IF(K67&gt;=45,"Medium","Low"))</x:f>
        <x:v>Medium</x:v>
      </x:c>
      <x:c r="M67" s="1"/>
      <x:c r="N67" s="1"/>
      <x:c r="O67" s="1"/>
      <x:c r="P67" s="1"/>
      <x:c r="Q67" s="1"/>
    </x:row>
    <x:row r="68" ht="22" customHeight="1">
      <x:c r="A68" s="1" t="str">
        <x:v>O0550</x:v>
      </x:c>
      <x:c r="B68" s="1" t="str">
        <x:v>Simulated Hyderabad Management Institute 550</x:v>
      </x:c>
      <x:c r="C68" s="9" t="n">
        <x:v>3.844</x:v>
      </x:c>
      <x:c r="D68" s="9" t="n">
        <x:v>9</x:v>
      </x:c>
      <x:c r="E68" s="9" t="n">
        <x:v>8.75</x:v>
      </x:c>
      <x:c r="F68" s="9" t="n">
        <x:v>7</x:v>
      </x:c>
      <x:c r="G68" s="9" t="n">
        <x:v>8.5714285714</x:v>
      </x:c>
      <x:c r="H68" s="9" t="n">
        <x:v>2.53</x:v>
      </x:c>
      <x:c r="I68" s="9" t="n">
        <x:v>7.1428571429</x:v>
      </x:c>
      <x:c r="J68" s="9" t="n">
        <x:v>9.8333333333</x:v>
      </x:c>
      <x:c r="K68" s="9" t="n">
        <x:f>ROUND(SUM(C68:J68),2)</x:f>
        <x:v>56.67</x:v>
      </x:c>
      <x:c r="L68" s="1" t="str">
        <x:f>IF(K68&gt;=70,"High",IF(K68&gt;=45,"Medium","Low"))</x:f>
        <x:v>Medium</x:v>
      </x:c>
      <x:c r="M68" s="1"/>
      <x:c r="N68" s="1"/>
      <x:c r="O68" s="1"/>
      <x:c r="P68" s="1"/>
      <x:c r="Q68" s="1"/>
    </x:row>
    <x:row r="69" ht="22" customHeight="1">
      <x:c r="A69" s="1" t="str">
        <x:v>O0132</x:v>
      </x:c>
      <x:c r="B69" s="1" t="str">
        <x:v>Simulated Bhubaneswar Arts and Science College 132</x:v>
      </x:c>
      <x:c r="C69" s="9" t="n">
        <x:v>5.155</x:v>
      </x:c>
      <x:c r="D69" s="9" t="n">
        <x:v>6.5</x:v>
      </x:c>
      <x:c r="E69" s="9" t="n">
        <x:v>11.25</x:v>
      </x:c>
      <x:c r="F69" s="9" t="n">
        <x:v>7</x:v>
      </x:c>
      <x:c r="G69" s="9" t="n">
        <x:v>8.3333333333</x:v>
      </x:c>
      <x:c r="H69" s="9" t="n">
        <x:v>2.24</x:v>
      </x:c>
      <x:c r="I69" s="9" t="n">
        <x:v>7.1428571429</x:v>
      </x:c>
      <x:c r="J69" s="9" t="n">
        <x:v>9</x:v>
      </x:c>
      <x:c r="K69" s="9" t="n">
        <x:f>ROUND(SUM(C69:J69),2)</x:f>
        <x:v>56.62</x:v>
      </x:c>
      <x:c r="L69" s="1" t="str">
        <x:f>IF(K69&gt;=70,"High",IF(K69&gt;=45,"Medium","Low"))</x:f>
        <x:v>Medium</x:v>
      </x:c>
      <x:c r="M69" s="1"/>
      <x:c r="N69" s="1"/>
      <x:c r="O69" s="1"/>
      <x:c r="P69" s="1"/>
      <x:c r="Q69" s="1"/>
    </x:row>
    <x:row r="70" ht="22" customHeight="1">
      <x:c r="A70" s="1" t="str">
        <x:v>O0147</x:v>
      </x:c>
      <x:c r="B70" s="1" t="str">
        <x:v>Simulated Bhubaneswar Engineering College 147</x:v>
      </x:c>
      <x:c r="C70" s="9" t="n">
        <x:v>4.628</x:v>
      </x:c>
      <x:c r="D70" s="9" t="n">
        <x:v>6.5</x:v>
      </x:c>
      <x:c r="E70" s="9" t="n">
        <x:v>15</x:v>
      </x:c>
      <x:c r="F70" s="9" t="n">
        <x:v>7</x:v>
      </x:c>
      <x:c r="G70" s="9" t="n">
        <x:v>7.5</x:v>
      </x:c>
      <x:c r="H70" s="9" t="n">
        <x:v>2.35</x:v>
      </x:c>
      <x:c r="I70" s="9" t="n">
        <x:v>4.2857142857</x:v>
      </x:c>
      <x:c r="J70" s="9" t="n">
        <x:v>9.3333333333</x:v>
      </x:c>
      <x:c r="K70" s="9" t="n">
        <x:f>ROUND(SUM(C70:J70),2)</x:f>
        <x:v>56.6</x:v>
      </x:c>
      <x:c r="L70" s="1" t="str">
        <x:f>IF(K70&gt;=70,"High",IF(K70&gt;=45,"Medium","Low"))</x:f>
        <x:v>Medium</x:v>
      </x:c>
      <x:c r="M70" s="1"/>
      <x:c r="N70" s="1"/>
      <x:c r="O70" s="1"/>
      <x:c r="P70" s="1"/>
      <x:c r="Q70" s="1"/>
    </x:row>
    <x:row r="71" ht="22" customHeight="1">
      <x:c r="A71" s="1" t="str">
        <x:v>O0198</x:v>
      </x:c>
      <x:c r="B71" s="1" t="str">
        <x:v>Simulated Gurugram Arts and Science College 198</x:v>
      </x:c>
      <x:c r="C71" s="9" t="n">
        <x:v>3.574</x:v>
      </x:c>
      <x:c r="D71" s="9" t="n">
        <x:v>8.5</x:v>
      </x:c>
      <x:c r="E71" s="9" t="n">
        <x:v>6.25</x:v>
      </x:c>
      <x:c r="F71" s="9" t="n">
        <x:v>7</x:v>
      </x:c>
      <x:c r="G71" s="9" t="n">
        <x:v>12</x:v>
      </x:c>
      <x:c r="H71" s="9" t="n">
        <x:v>2.53</x:v>
      </x:c>
      <x:c r="I71" s="9" t="n">
        <x:v>7.1428571429</x:v>
      </x:c>
      <x:c r="J71" s="9" t="n">
        <x:v>9.5</x:v>
      </x:c>
      <x:c r="K71" s="9" t="n">
        <x:f>ROUND(SUM(C71:J71),2)</x:f>
        <x:v>56.5</x:v>
      </x:c>
      <x:c r="L71" s="1" t="str">
        <x:f>IF(K71&gt;=70,"High",IF(K71&gt;=45,"Medium","Low"))</x:f>
        <x:v>Medium</x:v>
      </x:c>
      <x:c r="M71" s="1"/>
      <x:c r="N71" s="1"/>
      <x:c r="O71" s="1"/>
      <x:c r="P71" s="1"/>
      <x:c r="Q71" s="1"/>
    </x:row>
    <x:row r="72" ht="22" customHeight="1">
      <x:c r="A72" s="1" t="str">
        <x:v>O0079</x:v>
      </x:c>
      <x:c r="B72" s="1" t="str">
        <x:v>Simulated Ludhiana Arts and Science College 079</x:v>
      </x:c>
      <x:c r="C72" s="9" t="n">
        <x:v>2.643</x:v>
      </x:c>
      <x:c r="D72" s="9" t="n">
        <x:v>8.5</x:v>
      </x:c>
      <x:c r="E72" s="9" t="n">
        <x:v>12.5</x:v>
      </x:c>
      <x:c r="F72" s="9" t="n">
        <x:v>7</x:v>
      </x:c>
      <x:c r="G72" s="9" t="n">
        <x:v>7.5</x:v>
      </x:c>
      <x:c r="H72" s="9" t="n">
        <x:v>1.34</x:v>
      </x:c>
      <x:c r="I72" s="9" t="n">
        <x:v>7.1428571429</x:v>
      </x:c>
      <x:c r="J72" s="9" t="n">
        <x:v>9.5</x:v>
      </x:c>
      <x:c r="K72" s="9" t="n">
        <x:f>ROUND(SUM(C72:J72),2)</x:f>
        <x:v>56.13</x:v>
      </x:c>
      <x:c r="L72" s="1" t="str">
        <x:f>IF(K72&gt;=70,"High",IF(K72&gt;=45,"Medium","Low"))</x:f>
        <x:v>Medium</x:v>
      </x:c>
      <x:c r="M72" s="1"/>
      <x:c r="N72" s="1"/>
      <x:c r="O72" s="1"/>
      <x:c r="P72" s="1"/>
      <x:c r="Q72" s="1"/>
    </x:row>
    <x:row r="73" ht="22" customHeight="1">
      <x:c r="A73" s="1" t="str">
        <x:v>O0023</x:v>
      </x:c>
      <x:c r="B73" s="1" t="str">
        <x:v>Simulated Bengaluru University 023</x:v>
      </x:c>
      <x:c r="C73" s="9" t="n">
        <x:v>11.357</x:v>
      </x:c>
      <x:c r="D73" s="9" t="n">
        <x:v>9</x:v>
      </x:c>
      <x:c r="E73" s="9" t="n">
        <x:v>12.5</x:v>
      </x:c>
      <x:c r="F73" s="9" t="n">
        <x:v>10</x:v>
      </x:c>
      <x:c r="G73" s="9" t="n">
        <x:v>4.5</x:v>
      </x:c>
      <x:c r="H73" s="9" t="n">
        <x:v>7.94</x:v>
      </x:c>
      <x:c r="I73" s="9" t="n">
        <x:v>0.4285714286</x:v>
      </x:c>
      <x:c r="J73" s="9" t="n">
        <x:v>0</x:v>
      </x:c>
      <x:c r="K73" s="9" t="n">
        <x:f>ROUND(SUM(C73:J73),2)</x:f>
        <x:v>55.73</x:v>
      </x:c>
      <x:c r="L73" s="1" t="str">
        <x:f>IF(K73&gt;=70,"High",IF(K73&gt;=45,"Medium","Low"))</x:f>
        <x:v>Medium</x:v>
      </x:c>
      <x:c r="M73" s="1"/>
      <x:c r="N73" s="1"/>
      <x:c r="O73" s="1"/>
      <x:c r="P73" s="1"/>
      <x:c r="Q73" s="1"/>
    </x:row>
    <x:row r="74" ht="22" customHeight="1">
      <x:c r="A74" s="1" t="str">
        <x:v>O0443</x:v>
      </x:c>
      <x:c r="B74" s="1" t="str">
        <x:v>Simulated Bengaluru University 443</x:v>
      </x:c>
      <x:c r="C74" s="9" t="n">
        <x:v>13.846</x:v>
      </x:c>
      <x:c r="D74" s="9" t="n">
        <x:v>9</x:v>
      </x:c>
      <x:c r="E74" s="9" t="n">
        <x:v>3.75</x:v>
      </x:c>
      <x:c r="F74" s="9" t="n">
        <x:v>10</x:v>
      </x:c>
      <x:c r="G74" s="9" t="n">
        <x:v>5</x:v>
      </x:c>
      <x:c r="H74" s="9" t="n">
        <x:v>4.1</x:v>
      </x:c>
      <x:c r="I74" s="9" t="n">
        <x:v>10</x:v>
      </x:c>
      <x:c r="J74" s="9" t="n">
        <x:v>0</x:v>
      </x:c>
      <x:c r="K74" s="9" t="n">
        <x:f>ROUND(SUM(C74:J74),2)</x:f>
        <x:v>55.7</x:v>
      </x:c>
      <x:c r="L74" s="1" t="str">
        <x:f>IF(K74&gt;=70,"High",IF(K74&gt;=45,"Medium","Low"))</x:f>
        <x:v>Medium</x:v>
      </x:c>
      <x:c r="M74" s="1"/>
      <x:c r="N74" s="1"/>
      <x:c r="O74" s="1"/>
      <x:c r="P74" s="1"/>
      <x:c r="Q74" s="1"/>
    </x:row>
    <x:row r="75" ht="22" customHeight="1">
      <x:c r="A75" s="1" t="str">
        <x:v>O0331</x:v>
      </x:c>
      <x:c r="B75" s="1" t="str">
        <x:v>Simulated New Delhi University 331</x:v>
      </x:c>
      <x:c r="C75" s="9" t="n">
        <x:v>8.996</x:v>
      </x:c>
      <x:c r="D75" s="9" t="n">
        <x:v>8.5</x:v>
      </x:c>
      <x:c r="E75" s="9" t="n">
        <x:v>10</x:v>
      </x:c>
      <x:c r="F75" s="9" t="n">
        <x:v>10</x:v>
      </x:c>
      <x:c r="G75" s="9" t="n">
        <x:v>5.625</x:v>
      </x:c>
      <x:c r="H75" s="9" t="n">
        <x:v>2.7</x:v>
      </x:c>
      <x:c r="I75" s="9" t="n">
        <x:v>0.4285714286</x:v>
      </x:c>
      <x:c r="J75" s="9" t="n">
        <x:v>9.3333333333</x:v>
      </x:c>
      <x:c r="K75" s="9" t="n">
        <x:f>ROUND(SUM(C75:J75),2)</x:f>
        <x:v>55.58</x:v>
      </x:c>
      <x:c r="L75" s="1" t="str">
        <x:f>IF(K75&gt;=70,"High",IF(K75&gt;=45,"Medium","Low"))</x:f>
        <x:v>Medium</x:v>
      </x:c>
      <x:c r="M75" s="1"/>
      <x:c r="N75" s="1"/>
      <x:c r="O75" s="1"/>
      <x:c r="P75" s="1"/>
      <x:c r="Q75" s="1"/>
    </x:row>
    <x:row r="76" ht="22" customHeight="1">
      <x:c r="A76" s="1" t="str">
        <x:v>O0399</x:v>
      </x:c>
      <x:c r="B76" s="1" t="str">
        <x:v>Simulated Chennai University 399</x:v>
      </x:c>
      <x:c r="C76" s="9" t="n">
        <x:v>5.666</x:v>
      </x:c>
      <x:c r="D76" s="9" t="n">
        <x:v>9</x:v>
      </x:c>
      <x:c r="E76" s="9" t="n">
        <x:v>15</x:v>
      </x:c>
      <x:c r="F76" s="9" t="n">
        <x:v>7</x:v>
      </x:c>
      <x:c r="G76" s="9" t="n">
        <x:v>7.5</x:v>
      </x:c>
      <x:c r="H76" s="9" t="n">
        <x:v>3.79</x:v>
      </x:c>
      <x:c r="I76" s="9" t="n">
        <x:v>0.4285714286</x:v>
      </x:c>
      <x:c r="J76" s="9" t="n">
        <x:v>7.1666666667</x:v>
      </x:c>
      <x:c r="K76" s="9" t="n">
        <x:f>ROUND(SUM(C76:J76),2)</x:f>
        <x:v>55.55</x:v>
      </x:c>
      <x:c r="L76" s="1" t="str">
        <x:f>IF(K76&gt;=70,"High",IF(K76&gt;=45,"Medium","Low"))</x:f>
        <x:v>Medium</x:v>
      </x:c>
      <x:c r="M76" s="1"/>
      <x:c r="N76" s="1"/>
      <x:c r="O76" s="1"/>
      <x:c r="P76" s="1"/>
      <x:c r="Q76" s="1"/>
    </x:row>
    <x:row r="77" ht="22" customHeight="1">
      <x:c r="A77" s="1" t="str">
        <x:v>O0057</x:v>
      </x:c>
      <x:c r="B77" s="1" t="str">
        <x:v>Simulated Bhubaneswar Management Institute 057</x:v>
      </x:c>
      <x:c r="C77" s="9" t="n">
        <x:v>2.976</x:v>
      </x:c>
      <x:c r="D77" s="9" t="n">
        <x:v>6.5</x:v>
      </x:c>
      <x:c r="E77" s="9" t="n">
        <x:v>12.5</x:v>
      </x:c>
      <x:c r="F77" s="9" t="n">
        <x:v>7</x:v>
      </x:c>
      <x:c r="G77" s="9" t="n">
        <x:v>10.5</x:v>
      </x:c>
      <x:c r="H77" s="9" t="n">
        <x:v>2.11</x:v>
      </x:c>
      <x:c r="I77" s="9" t="n">
        <x:v>4.2857142857</x:v>
      </x:c>
      <x:c r="J77" s="9" t="n">
        <x:v>9.6666666667</x:v>
      </x:c>
      <x:c r="K77" s="9" t="n">
        <x:f>ROUND(SUM(C77:J77),2)</x:f>
        <x:v>55.54</x:v>
      </x:c>
      <x:c r="L77" s="1" t="str">
        <x:f>IF(K77&gt;=70,"High",IF(K77&gt;=45,"Medium","Low"))</x:f>
        <x:v>Medium</x:v>
      </x:c>
      <x:c r="M77" s="1"/>
      <x:c r="N77" s="1"/>
      <x:c r="O77" s="1"/>
      <x:c r="P77" s="1"/>
      <x:c r="Q77" s="1"/>
    </x:row>
    <x:row r="78" ht="22" customHeight="1">
      <x:c r="A78" s="1" t="str">
        <x:v>O0365</x:v>
      </x:c>
      <x:c r="B78" s="1" t="str">
        <x:v>Simulated Pune University 365</x:v>
      </x:c>
      <x:c r="C78" s="9" t="n">
        <x:v>5.4</x:v>
      </x:c>
      <x:c r="D78" s="9" t="n">
        <x:v>8</x:v>
      </x:c>
      <x:c r="E78" s="9" t="n">
        <x:v>10</x:v>
      </x:c>
      <x:c r="F78" s="9" t="n">
        <x:v>7</x:v>
      </x:c>
      <x:c r="G78" s="9" t="n">
        <x:v>5.625</x:v>
      </x:c>
      <x:c r="H78" s="9" t="n">
        <x:v>3.85</x:v>
      </x:c>
      <x:c r="I78" s="9" t="n">
        <x:v>7.1428571429</x:v>
      </x:c>
      <x:c r="J78" s="9" t="n">
        <x:v>8.5</x:v>
      </x:c>
      <x:c r="K78" s="9" t="n">
        <x:f>ROUND(SUM(C78:J78),2)</x:f>
        <x:v>55.52</x:v>
      </x:c>
      <x:c r="L78" s="1" t="str">
        <x:f>IF(K78&gt;=70,"High",IF(K78&gt;=45,"Medium","Low"))</x:f>
        <x:v>Medium</x:v>
      </x:c>
      <x:c r="M78" s="1"/>
      <x:c r="N78" s="1"/>
      <x:c r="O78" s="1"/>
      <x:c r="P78" s="1"/>
      <x:c r="Q78" s="1"/>
    </x:row>
    <x:row r="79" ht="22" customHeight="1">
      <x:c r="A79" s="1" t="str">
        <x:v>O0329</x:v>
      </x:c>
      <x:c r="B79" s="1" t="str">
        <x:v>Simulated Guwahati Engineering College 329</x:v>
      </x:c>
      <x:c r="C79" s="9" t="n">
        <x:v>3.273</x:v>
      </x:c>
      <x:c r="D79" s="9" t="n">
        <x:v>5.5</x:v>
      </x:c>
      <x:c r="E79" s="9" t="n">
        <x:v>10</x:v>
      </x:c>
      <x:c r="F79" s="9" t="n">
        <x:v>7</x:v>
      </x:c>
      <x:c r="G79" s="9" t="n">
        <x:v>11.25</x:v>
      </x:c>
      <x:c r="H79" s="9" t="n">
        <x:v>1.78</x:v>
      </x:c>
      <x:c r="I79" s="9" t="n">
        <x:v>10</x:v>
      </x:c>
      <x:c r="J79" s="9" t="n">
        <x:v>6.6666666667</x:v>
      </x:c>
      <x:c r="K79" s="9" t="n">
        <x:f>ROUND(SUM(C79:J79),2)</x:f>
        <x:v>55.47</x:v>
      </x:c>
      <x:c r="L79" s="1" t="str">
        <x:f>IF(K79&gt;=70,"High",IF(K79&gt;=45,"Medium","Low"))</x:f>
        <x:v>Medium</x:v>
      </x:c>
      <x:c r="M79" s="1"/>
      <x:c r="N79" s="1"/>
      <x:c r="O79" s="1"/>
      <x:c r="P79" s="1"/>
      <x:c r="Q79" s="1"/>
    </x:row>
    <x:row r="80" ht="22" customHeight="1">
      <x:c r="A80" s="1" t="str">
        <x:v>O0180</x:v>
      </x:c>
      <x:c r="B80" s="1" t="str">
        <x:v>Simulated Indore Arts and Science College 180</x:v>
      </x:c>
      <x:c r="C80" s="9" t="n">
        <x:v>2.561</x:v>
      </x:c>
      <x:c r="D80" s="9" t="n">
        <x:v>6.5</x:v>
      </x:c>
      <x:c r="E80" s="9" t="n">
        <x:v>6.25</x:v>
      </x:c>
      <x:c r="F80" s="9" t="n">
        <x:v>7</x:v>
      </x:c>
      <x:c r="G80" s="9" t="n">
        <x:v>12</x:v>
      </x:c>
      <x:c r="H80" s="9" t="n">
        <x:v>2.31</x:v>
      </x:c>
      <x:c r="I80" s="9" t="n">
        <x:v>10</x:v>
      </x:c>
      <x:c r="J80" s="9" t="n">
        <x:v>8.8333333333</x:v>
      </x:c>
      <x:c r="K80" s="9" t="n">
        <x:f>ROUND(SUM(C80:J80),2)</x:f>
        <x:v>55.45</x:v>
      </x:c>
      <x:c r="L80" s="1" t="str">
        <x:f>IF(K80&gt;=70,"High",IF(K80&gt;=45,"Medium","Low"))</x:f>
        <x:v>Medium</x:v>
      </x:c>
      <x:c r="M80" s="1"/>
      <x:c r="N80" s="1"/>
      <x:c r="O80" s="1"/>
      <x:c r="P80" s="1"/>
      <x:c r="Q80" s="1"/>
    </x:row>
    <x:row r="81" ht="22" customHeight="1">
      <x:c r="A81" s="1" t="str">
        <x:v>O0226</x:v>
      </x:c>
      <x:c r="B81" s="1" t="str">
        <x:v>Simulated New Delhi Management Institute 226</x:v>
      </x:c>
      <x:c r="C81" s="9" t="n">
        <x:v>5.838</x:v>
      </x:c>
      <x:c r="D81" s="9" t="n">
        <x:v>8.5</x:v>
      </x:c>
      <x:c r="E81" s="9" t="n">
        <x:v>3.75</x:v>
      </x:c>
      <x:c r="F81" s="9" t="n">
        <x:v>7</x:v>
      </x:c>
      <x:c r="G81" s="9" t="n">
        <x:v>10</x:v>
      </x:c>
      <x:c r="H81" s="9" t="n">
        <x:v>4</x:v>
      </x:c>
      <x:c r="I81" s="9" t="n">
        <x:v>7.1428571429</x:v>
      </x:c>
      <x:c r="J81" s="9" t="n">
        <x:v>9.1666666667</x:v>
      </x:c>
      <x:c r="K81" s="9" t="n">
        <x:f>ROUND(SUM(C81:J81),2)</x:f>
        <x:v>55.4</x:v>
      </x:c>
      <x:c r="L81" s="1" t="str">
        <x:f>IF(K81&gt;=70,"High",IF(K81&gt;=45,"Medium","Low"))</x:f>
        <x:v>Medium</x:v>
      </x:c>
      <x:c r="M81" s="1"/>
      <x:c r="N81" s="1"/>
      <x:c r="O81" s="1"/>
      <x:c r="P81" s="1"/>
      <x:c r="Q81" s="1"/>
    </x:row>
    <x:row r="82" ht="22" customHeight="1">
      <x:c r="A82" s="1" t="str">
        <x:v>O0351</x:v>
      </x:c>
      <x:c r="B82" s="1" t="str">
        <x:v>Simulated Ahmedabad University 351</x:v>
      </x:c>
      <x:c r="C82" s="9" t="n">
        <x:v>12.81</x:v>
      </x:c>
      <x:c r="D82" s="9" t="n">
        <x:v>8</x:v>
      </x:c>
      <x:c r="E82" s="9" t="n">
        <x:v>6.25</x:v>
      </x:c>
      <x:c r="F82" s="9" t="n">
        <x:v>10</x:v>
      </x:c>
      <x:c r="G82" s="9" t="n">
        <x:v>6</x:v>
      </x:c>
      <x:c r="H82" s="9" t="n">
        <x:v>7.89</x:v>
      </x:c>
      <x:c r="I82" s="9" t="n">
        <x:v>4.2857142857</x:v>
      </x:c>
      <x:c r="J82" s="9" t="n">
        <x:v>0.1666666667</x:v>
      </x:c>
      <x:c r="K82" s="9" t="n">
        <x:f>ROUND(SUM(C82:J82),2)</x:f>
        <x:v>55.4</x:v>
      </x:c>
      <x:c r="L82" s="1" t="str">
        <x:f>IF(K82&gt;=70,"High",IF(K82&gt;=45,"Medium","Low"))</x:f>
        <x:v>Medium</x:v>
      </x:c>
      <x:c r="M82" s="1"/>
      <x:c r="N82" s="1"/>
      <x:c r="O82" s="1"/>
      <x:c r="P82" s="1"/>
      <x:c r="Q82" s="1"/>
    </x:row>
    <x:row r="83" ht="22" customHeight="1">
      <x:c r="A83" s="1" t="str">
        <x:v>O0451</x:v>
      </x:c>
      <x:c r="B83" s="1" t="str">
        <x:v>Simulated New Delhi Engineering College 451</x:v>
      </x:c>
      <x:c r="C83" s="9" t="n">
        <x:v>2.576</x:v>
      </x:c>
      <x:c r="D83" s="9" t="n">
        <x:v>8.5</x:v>
      </x:c>
      <x:c r="E83" s="9" t="n">
        <x:v>15</x:v>
      </x:c>
      <x:c r="F83" s="9" t="n">
        <x:v>7</x:v>
      </x:c>
      <x:c r="G83" s="9" t="n">
        <x:v>5</x:v>
      </x:c>
      <x:c r="H83" s="9" t="n">
        <x:v>1.45</x:v>
      </x:c>
      <x:c r="I83" s="9" t="n">
        <x:v>7.1428571429</x:v>
      </x:c>
      <x:c r="J83" s="9" t="n">
        <x:v>8.5</x:v>
      </x:c>
      <x:c r="K83" s="9" t="n">
        <x:f>ROUND(SUM(C83:J83),2)</x:f>
        <x:v>55.17</x:v>
      </x:c>
      <x:c r="L83" s="1" t="str">
        <x:f>IF(K83&gt;=70,"High",IF(K83&gt;=45,"Medium","Low"))</x:f>
        <x:v>Medium</x:v>
      </x:c>
      <x:c r="M83" s="1"/>
      <x:c r="N83" s="1"/>
      <x:c r="O83" s="1"/>
      <x:c r="P83" s="1"/>
      <x:c r="Q83" s="1"/>
    </x:row>
    <x:row r="84" ht="22" customHeight="1">
      <x:c r="A84" s="1" t="str">
        <x:v>O0050</x:v>
      </x:c>
      <x:c r="B84" s="1" t="str">
        <x:v>Simulated Pune Engineering College 050</x:v>
      </x:c>
      <x:c r="C84" s="9" t="n">
        <x:v>5.002</x:v>
      </x:c>
      <x:c r="D84" s="9" t="n">
        <x:v>8</x:v>
      </x:c>
      <x:c r="E84" s="9" t="n">
        <x:v>11.25</x:v>
      </x:c>
      <x:c r="F84" s="9" t="n">
        <x:v>7</x:v>
      </x:c>
      <x:c r="G84" s="9" t="n">
        <x:v>8.3333333333</x:v>
      </x:c>
      <x:c r="H84" s="9" t="n">
        <x:v>3.3</x:v>
      </x:c>
      <x:c r="I84" s="9" t="n">
        <x:v>2.5714285714</x:v>
      </x:c>
      <x:c r="J84" s="9" t="n">
        <x:v>9.5</x:v>
      </x:c>
      <x:c r="K84" s="9" t="n">
        <x:f>ROUND(SUM(C84:J84),2)</x:f>
        <x:v>54.96</x:v>
      </x:c>
      <x:c r="L84" s="1" t="str">
        <x:f>IF(K84&gt;=70,"High",IF(K84&gt;=45,"Medium","Low"))</x:f>
        <x:v>Medium</x:v>
      </x:c>
      <x:c r="M84" s="1"/>
      <x:c r="N84" s="1"/>
      <x:c r="O84" s="1"/>
      <x:c r="P84" s="1"/>
      <x:c r="Q84" s="1"/>
    </x:row>
    <x:row r="85" ht="22" customHeight="1">
      <x:c r="A85" s="1" t="str">
        <x:v>O0481</x:v>
      </x:c>
      <x:c r="B85" s="1" t="str">
        <x:v>Simulated New Delhi University 481</x:v>
      </x:c>
      <x:c r="C85" s="9" t="n">
        <x:v>6.003</x:v>
      </x:c>
      <x:c r="D85" s="9" t="n">
        <x:v>8.5</x:v>
      </x:c>
      <x:c r="E85" s="9" t="n">
        <x:v>15</x:v>
      </x:c>
      <x:c r="F85" s="9" t="n">
        <x:v>7</x:v>
      </x:c>
      <x:c r="G85" s="9" t="n">
        <x:v>7.5</x:v>
      </x:c>
      <x:c r="H85" s="9" t="n">
        <x:v>3.17</x:v>
      </x:c>
      <x:c r="I85" s="9" t="n">
        <x:v>1.4285714286</x:v>
      </x:c>
      <x:c r="J85" s="9" t="n">
        <x:v>6.3333333333</x:v>
      </x:c>
      <x:c r="K85" s="9" t="n">
        <x:f>ROUND(SUM(C85:J85),2)</x:f>
        <x:v>54.93</x:v>
      </x:c>
      <x:c r="L85" s="1" t="str">
        <x:f>IF(K85&gt;=70,"High",IF(K85&gt;=45,"Medium","Low"))</x:f>
        <x:v>Medium</x:v>
      </x:c>
      <x:c r="M85" s="1"/>
      <x:c r="N85" s="1"/>
      <x:c r="O85" s="1"/>
      <x:c r="P85" s="1"/>
      <x:c r="Q85" s="1"/>
    </x:row>
    <x:row r="86" ht="22" customHeight="1">
      <x:c r="A86" s="1" t="str">
        <x:v>O0541</x:v>
      </x:c>
      <x:c r="B86" s="1" t="str">
        <x:v>Simulated New Delhi Arts and Science College 541</x:v>
      </x:c>
      <x:c r="C86" s="9" t="n">
        <x:v>2.809</x:v>
      </x:c>
      <x:c r="D86" s="9" t="n">
        <x:v>8.5</x:v>
      </x:c>
      <x:c r="E86" s="9" t="n">
        <x:v>12.5</x:v>
      </x:c>
      <x:c r="F86" s="9" t="n">
        <x:v>7</x:v>
      </x:c>
      <x:c r="G86" s="9" t="n">
        <x:v>9</x:v>
      </x:c>
      <x:c r="H86" s="9" t="n">
        <x:v>1.74</x:v>
      </x:c>
      <x:c r="I86" s="9" t="n">
        <x:v>7.1428571429</x:v>
      </x:c>
      <x:c r="J86" s="9" t="n">
        <x:v>6.1666666667</x:v>
      </x:c>
      <x:c r="K86" s="9" t="n">
        <x:f>ROUND(SUM(C86:J86),2)</x:f>
        <x:v>54.86</x:v>
      </x:c>
      <x:c r="L86" s="1" t="str">
        <x:f>IF(K86&gt;=70,"High",IF(K86&gt;=45,"Medium","Low"))</x:f>
        <x:v>Medium</x:v>
      </x:c>
      <x:c r="M86" s="1"/>
      <x:c r="N86" s="1"/>
      <x:c r="O86" s="1"/>
      <x:c r="P86" s="1"/>
      <x:c r="Q86" s="1"/>
    </x:row>
    <x:row r="87" ht="22" customHeight="1">
      <x:c r="A87" s="1" t="str">
        <x:v>O0044</x:v>
      </x:c>
      <x:c r="B87" s="1" t="str">
        <x:v>Simulated Guwahati Engineering College 044</x:v>
      </x:c>
      <x:c r="C87" s="9" t="n">
        <x:v>3.304</x:v>
      </x:c>
      <x:c r="D87" s="9" t="n">
        <x:v>5.5</x:v>
      </x:c>
      <x:c r="E87" s="9" t="n">
        <x:v>12.5</x:v>
      </x:c>
      <x:c r="F87" s="9" t="n">
        <x:v>7</x:v>
      </x:c>
      <x:c r="G87" s="9" t="n">
        <x:v>10.5</x:v>
      </x:c>
      <x:c r="H87" s="9" t="n">
        <x:v>2.54</x:v>
      </x:c>
      <x:c r="I87" s="9" t="n">
        <x:v>7.1428571429</x:v>
      </x:c>
      <x:c r="J87" s="9" t="n">
        <x:v>6.3333333333</x:v>
      </x:c>
      <x:c r="K87" s="9" t="n">
        <x:f>ROUND(SUM(C87:J87),2)</x:f>
        <x:v>54.82</x:v>
      </x:c>
      <x:c r="L87" s="1" t="str">
        <x:f>IF(K87&gt;=70,"High",IF(K87&gt;=45,"Medium","Low"))</x:f>
        <x:v>Medium</x:v>
      </x:c>
      <x:c r="M87" s="1"/>
      <x:c r="N87" s="1"/>
      <x:c r="O87" s="1"/>
      <x:c r="P87" s="1"/>
      <x:c r="Q87" s="1"/>
    </x:row>
    <x:row r="88" ht="22" customHeight="1">
      <x:c r="A88" s="1" t="str">
        <x:v>O0291</x:v>
      </x:c>
      <x:c r="B88" s="1" t="str">
        <x:v>Simulated Ahmedabad Engineering College 291</x:v>
      </x:c>
      <x:c r="C88" s="9" t="n">
        <x:v>4.688</x:v>
      </x:c>
      <x:c r="D88" s="9" t="n">
        <x:v>8</x:v>
      </x:c>
      <x:c r="E88" s="9" t="n">
        <x:v>13.75</x:v>
      </x:c>
      <x:c r="F88" s="9" t="n">
        <x:v>7</x:v>
      </x:c>
      <x:c r="G88" s="9" t="n">
        <x:v>9.5454545455</x:v>
      </x:c>
      <x:c r="H88" s="9" t="n">
        <x:v>2.05</x:v>
      </x:c>
      <x:c r="I88" s="9" t="n">
        <x:v>1.4285714286</x:v>
      </x:c>
      <x:c r="J88" s="9" t="n">
        <x:v>8.3333333333</x:v>
      </x:c>
      <x:c r="K88" s="9" t="n">
        <x:f>ROUND(SUM(C88:J88),2)</x:f>
        <x:v>54.8</x:v>
      </x:c>
      <x:c r="L88" s="1" t="str">
        <x:f>IF(K88&gt;=70,"High",IF(K88&gt;=45,"Medium","Low"))</x:f>
        <x:v>Medium</x:v>
      </x:c>
      <x:c r="M88" s="1"/>
      <x:c r="N88" s="1"/>
      <x:c r="O88" s="1"/>
      <x:c r="P88" s="1"/>
      <x:c r="Q88" s="1"/>
    </x:row>
    <x:row r="89" ht="22" customHeight="1">
      <x:c r="A89" s="1" t="str">
        <x:v>O0062</x:v>
      </x:c>
      <x:c r="B89" s="1" t="str">
        <x:v>Simulated Noida Management Institute 062</x:v>
      </x:c>
      <x:c r="C89" s="9" t="n">
        <x:v>2.287</x:v>
      </x:c>
      <x:c r="D89" s="9" t="n">
        <x:v>8.5</x:v>
      </x:c>
      <x:c r="E89" s="9" t="n">
        <x:v>13.75</x:v>
      </x:c>
      <x:c r="F89" s="9" t="n">
        <x:v>7</x:v>
      </x:c>
      <x:c r="G89" s="9" t="n">
        <x:v>9.5454545455</x:v>
      </x:c>
      <x:c r="H89" s="9" t="n">
        <x:v>2.22</x:v>
      </x:c>
      <x:c r="I89" s="9" t="n">
        <x:v>1.4285714286</x:v>
      </x:c>
      <x:c r="J89" s="9" t="n">
        <x:v>10</x:v>
      </x:c>
      <x:c r="K89" s="9" t="n">
        <x:f>ROUND(SUM(C89:J89),2)</x:f>
        <x:v>54.73</x:v>
      </x:c>
      <x:c r="L89" s="1" t="str">
        <x:f>IF(K89&gt;=70,"High",IF(K89&gt;=45,"Medium","Low"))</x:f>
        <x:v>Medium</x:v>
      </x:c>
      <x:c r="M89" s="1"/>
      <x:c r="N89" s="1"/>
      <x:c r="O89" s="1"/>
      <x:c r="P89" s="1"/>
      <x:c r="Q89" s="1"/>
    </x:row>
    <x:row r="90" ht="22" customHeight="1">
      <x:c r="A90" s="1" t="str">
        <x:v>O0054</x:v>
      </x:c>
      <x:c r="B90" s="1" t="str">
        <x:v>Simulated Chennai Arts and Science College 054</x:v>
      </x:c>
      <x:c r="C90" s="9" t="n">
        <x:v>2.821</x:v>
      </x:c>
      <x:c r="D90" s="9" t="n">
        <x:v>9</x:v>
      </x:c>
      <x:c r="E90" s="9" t="n">
        <x:v>13.75</x:v>
      </x:c>
      <x:c r="F90" s="9" t="n">
        <x:v>7</x:v>
      </x:c>
      <x:c r="G90" s="9" t="n">
        <x:v>9.5454545455</x:v>
      </x:c>
      <x:c r="H90" s="9" t="n">
        <x:v>2.63</x:v>
      </x:c>
      <x:c r="I90" s="9" t="n">
        <x:v>0.4285714286</x:v>
      </x:c>
      <x:c r="J90" s="9" t="n">
        <x:v>9.5</x:v>
      </x:c>
      <x:c r="K90" s="9" t="n">
        <x:f>ROUND(SUM(C90:J90),2)</x:f>
        <x:v>54.68</x:v>
      </x:c>
      <x:c r="L90" s="1" t="str">
        <x:f>IF(K90&gt;=70,"High",IF(K90&gt;=45,"Medium","Low"))</x:f>
        <x:v>Medium</x:v>
      </x:c>
      <x:c r="M90" s="1"/>
      <x:c r="N90" s="1"/>
      <x:c r="O90" s="1"/>
      <x:c r="P90" s="1"/>
      <x:c r="Q90" s="1"/>
    </x:row>
    <x:row r="91" ht="22" customHeight="1">
      <x:c r="A91" s="1" t="str">
        <x:v>O0310</x:v>
      </x:c>
      <x:c r="B91" s="1" t="str">
        <x:v>Simulated Hyderabad Engineering College 310</x:v>
      </x:c>
      <x:c r="C91" s="9" t="n">
        <x:v>5.832</x:v>
      </x:c>
      <x:c r="D91" s="9" t="n">
        <x:v>9</x:v>
      </x:c>
      <x:c r="E91" s="9" t="n">
        <x:v>10</x:v>
      </x:c>
      <x:c r="F91" s="9" t="n">
        <x:v>7</x:v>
      </x:c>
      <x:c r="G91" s="9" t="n">
        <x:v>9.375</x:v>
      </x:c>
      <x:c r="H91" s="9" t="n">
        <x:v>3.43</x:v>
      </x:c>
      <x:c r="I91" s="9" t="n">
        <x:v>0.4285714286</x:v>
      </x:c>
      <x:c r="J91" s="9" t="n">
        <x:v>9.5</x:v>
      </x:c>
      <x:c r="K91" s="9" t="n">
        <x:f>ROUND(SUM(C91:J91),2)</x:f>
        <x:v>54.57</x:v>
      </x:c>
      <x:c r="L91" s="1" t="str">
        <x:f>IF(K91&gt;=70,"High",IF(K91&gt;=45,"Medium","Low"))</x:f>
        <x:v>Medium</x:v>
      </x:c>
      <x:c r="M91" s="1"/>
      <x:c r="N91" s="1"/>
      <x:c r="O91" s="1"/>
      <x:c r="P91" s="1"/>
      <x:c r="Q91" s="1"/>
    </x:row>
    <x:row r="92" ht="22" customHeight="1">
      <x:c r="A92" s="1" t="str">
        <x:v>O0420</x:v>
      </x:c>
      <x:c r="B92" s="1" t="str">
        <x:v>Simulated Indore Engineering College 420</x:v>
      </x:c>
      <x:c r="C92" s="9" t="n">
        <x:v>3.331</x:v>
      </x:c>
      <x:c r="D92" s="9" t="n">
        <x:v>6.5</x:v>
      </x:c>
      <x:c r="E92" s="9" t="n">
        <x:v>13.75</x:v>
      </x:c>
      <x:c r="F92" s="9" t="n">
        <x:v>7</x:v>
      </x:c>
      <x:c r="G92" s="9" t="n">
        <x:v>9.5454545455</x:v>
      </x:c>
      <x:c r="H92" s="9" t="n">
        <x:v>2.33</x:v>
      </x:c>
      <x:c r="I92" s="9" t="n">
        <x:v>2.5714285714</x:v>
      </x:c>
      <x:c r="J92" s="9" t="n">
        <x:v>9.5</x:v>
      </x:c>
      <x:c r="K92" s="9" t="n">
        <x:f>ROUND(SUM(C92:J92),2)</x:f>
        <x:v>54.53</x:v>
      </x:c>
      <x:c r="L92" s="1" t="str">
        <x:f>IF(K92&gt;=70,"High",IF(K92&gt;=45,"Medium","Low"))</x:f>
        <x:v>Medium</x:v>
      </x:c>
      <x:c r="M92" s="1"/>
      <x:c r="N92" s="1"/>
      <x:c r="O92" s="1"/>
      <x:c r="P92" s="1"/>
      <x:c r="Q92" s="1"/>
    </x:row>
    <x:row r="93" ht="22" customHeight="1">
      <x:c r="A93" s="1" t="str">
        <x:v>O0223</x:v>
      </x:c>
      <x:c r="B93" s="1" t="str">
        <x:v>Simulated Patna University 223</x:v>
      </x:c>
      <x:c r="C93" s="9" t="n">
        <x:v>8.119</x:v>
      </x:c>
      <x:c r="D93" s="9" t="n">
        <x:v>6.5</x:v>
      </x:c>
      <x:c r="E93" s="9" t="n">
        <x:v>10</x:v>
      </x:c>
      <x:c r="F93" s="9" t="n">
        <x:v>10</x:v>
      </x:c>
      <x:c r="G93" s="9" t="n">
        <x:v>5.625</x:v>
      </x:c>
      <x:c r="H93" s="9" t="n">
        <x:v>4.65</x:v>
      </x:c>
      <x:c r="I93" s="9" t="n">
        <x:v>1.4285714286</x:v>
      </x:c>
      <x:c r="J93" s="9" t="n">
        <x:v>8</x:v>
      </x:c>
      <x:c r="K93" s="9" t="n">
        <x:f>ROUND(SUM(C93:J93),2)</x:f>
        <x:v>54.32</x:v>
      </x:c>
      <x:c r="L93" s="1" t="str">
        <x:f>IF(K93&gt;=70,"High",IF(K93&gt;=45,"Medium","Low"))</x:f>
        <x:v>Medium</x:v>
      </x:c>
      <x:c r="M93" s="1"/>
      <x:c r="N93" s="1"/>
      <x:c r="O93" s="1"/>
      <x:c r="P93" s="1"/>
      <x:c r="Q93" s="1"/>
    </x:row>
    <x:row r="94" ht="22" customHeight="1">
      <x:c r="A94" s="1" t="str">
        <x:v>O0248</x:v>
      </x:c>
      <x:c r="B94" s="1" t="str">
        <x:v>Simulated Bengaluru Management Institute 248</x:v>
      </x:c>
      <x:c r="C94" s="9" t="n">
        <x:v>5.256</x:v>
      </x:c>
      <x:c r="D94" s="9" t="n">
        <x:v>9</x:v>
      </x:c>
      <x:c r="E94" s="9" t="n">
        <x:v>13.75</x:v>
      </x:c>
      <x:c r="F94" s="9" t="n">
        <x:v>7</x:v>
      </x:c>
      <x:c r="G94" s="9" t="n">
        <x:v>8.1818181818</x:v>
      </x:c>
      <x:c r="H94" s="9" t="n">
        <x:v>2.16</x:v>
      </x:c>
      <x:c r="I94" s="9" t="n">
        <x:v>2.5714285714</x:v>
      </x:c>
      <x:c r="J94" s="9" t="n">
        <x:v>6.3333333333</x:v>
      </x:c>
      <x:c r="K94" s="9" t="n">
        <x:f>ROUND(SUM(C94:J94),2)</x:f>
        <x:v>54.25</x:v>
      </x:c>
      <x:c r="L94" s="1" t="str">
        <x:f>IF(K94&gt;=70,"High",IF(K94&gt;=45,"Medium","Low"))</x:f>
        <x:v>Medium</x:v>
      </x:c>
      <x:c r="M94" s="1"/>
      <x:c r="N94" s="1"/>
      <x:c r="O94" s="1"/>
      <x:c r="P94" s="1"/>
      <x:c r="Q94" s="1"/>
    </x:row>
    <x:row r="95" ht="22" customHeight="1">
      <x:c r="A95" s="1" t="str">
        <x:v>O0393</x:v>
      </x:c>
      <x:c r="B95" s="1" t="str">
        <x:v>Simulated Gurugram Arts and Science College 393</x:v>
      </x:c>
      <x:c r="C95" s="9" t="n">
        <x:v>1.209</x:v>
      </x:c>
      <x:c r="D95" s="9" t="n">
        <x:v>8.5</x:v>
      </x:c>
      <x:c r="E95" s="9" t="n">
        <x:v>13.75</x:v>
      </x:c>
      <x:c r="F95" s="9" t="n">
        <x:v>4</x:v>
      </x:c>
      <x:c r="G95" s="9" t="n">
        <x:v>9.5454545455</x:v>
      </x:c>
      <x:c r="H95" s="9" t="n">
        <x:v>1.27</x:v>
      </x:c>
      <x:c r="I95" s="9" t="n">
        <x:v>7.1428571429</x:v>
      </x:c>
      <x:c r="J95" s="9" t="n">
        <x:v>8.8333333333</x:v>
      </x:c>
      <x:c r="K95" s="9" t="n">
        <x:f>ROUND(SUM(C95:J95),2)</x:f>
        <x:v>54.25</x:v>
      </x:c>
      <x:c r="L95" s="1" t="str">
        <x:f>IF(K95&gt;=70,"High",IF(K95&gt;=45,"Medium","Low"))</x:f>
        <x:v>Medium</x:v>
      </x:c>
      <x:c r="M95" s="1"/>
      <x:c r="N95" s="1"/>
      <x:c r="O95" s="1"/>
      <x:c r="P95" s="1"/>
      <x:c r="Q95" s="1"/>
    </x:row>
    <x:row r="96" ht="22" customHeight="1">
      <x:c r="A96" s="1" t="str">
        <x:v>O0513</x:v>
      </x:c>
      <x:c r="B96" s="1" t="str">
        <x:v>Simulated Gurugram Engineering College 513</x:v>
      </x:c>
      <x:c r="C96" s="9" t="n">
        <x:v>3.278</x:v>
      </x:c>
      <x:c r="D96" s="9" t="n">
        <x:v>8.5</x:v>
      </x:c>
      <x:c r="E96" s="9" t="n">
        <x:v>13.75</x:v>
      </x:c>
      <x:c r="F96" s="9" t="n">
        <x:v>7</x:v>
      </x:c>
      <x:c r="G96" s="9" t="n">
        <x:v>8.1818181818</x:v>
      </x:c>
      <x:c r="H96" s="9" t="n">
        <x:v>2.13</x:v>
      </x:c>
      <x:c r="I96" s="9" t="n">
        <x:v>2.5714285714</x:v>
      </x:c>
      <x:c r="J96" s="9" t="n">
        <x:v>8.8333333333</x:v>
      </x:c>
      <x:c r="K96" s="9" t="n">
        <x:f>ROUND(SUM(C96:J96),2)</x:f>
        <x:v>54.24</x:v>
      </x:c>
      <x:c r="L96" s="1" t="str">
        <x:f>IF(K96&gt;=70,"High",IF(K96&gt;=45,"Medium","Low"))</x:f>
        <x:v>Medium</x:v>
      </x:c>
      <x:c r="M96" s="1"/>
      <x:c r="N96" s="1"/>
      <x:c r="O96" s="1"/>
      <x:c r="P96" s="1"/>
      <x:c r="Q96" s="1"/>
    </x:row>
    <x:row r="97" ht="22" customHeight="1">
      <x:c r="A97" s="1" t="str">
        <x:v>O0343</x:v>
      </x:c>
      <x:c r="B97" s="1" t="str">
        <x:v>Simulated Patna Arts and Science College 343</x:v>
      </x:c>
      <x:c r="C97" s="9" t="n">
        <x:v>5.16</x:v>
      </x:c>
      <x:c r="D97" s="9" t="n">
        <x:v>6.5</x:v>
      </x:c>
      <x:c r="E97" s="9" t="n">
        <x:v>10</x:v>
      </x:c>
      <x:c r="F97" s="9" t="n">
        <x:v>7</x:v>
      </x:c>
      <x:c r="G97" s="9" t="n">
        <x:v>11.25</x:v>
      </x:c>
      <x:c r="H97" s="9" t="n">
        <x:v>3.53</x:v>
      </x:c>
      <x:c r="I97" s="9" t="n">
        <x:v>1.4285714286</x:v>
      </x:c>
      <x:c r="J97" s="9" t="n">
        <x:v>9.3333333333</x:v>
      </x:c>
      <x:c r="K97" s="9" t="n">
        <x:f>ROUND(SUM(C97:J97),2)</x:f>
        <x:v>54.2</x:v>
      </x:c>
      <x:c r="L97" s="1" t="str">
        <x:f>IF(K97&gt;=70,"High",IF(K97&gt;=45,"Medium","Low"))</x:f>
        <x:v>Medium</x:v>
      </x:c>
      <x:c r="M97" s="1"/>
      <x:c r="N97" s="1"/>
      <x:c r="O97" s="1"/>
      <x:c r="P97" s="1"/>
      <x:c r="Q97" s="1"/>
    </x:row>
    <x:row r="98" ht="22" customHeight="1">
      <x:c r="A98" s="1" t="str">
        <x:v>O0129</x:v>
      </x:c>
      <x:c r="B98" s="1" t="str">
        <x:v>Simulated Chennai Management Institute 129</x:v>
      </x:c>
      <x:c r="C98" s="9" t="n">
        <x:v>5.42</x:v>
      </x:c>
      <x:c r="D98" s="9" t="n">
        <x:v>9</x:v>
      </x:c>
      <x:c r="E98" s="9" t="n">
        <x:v>8.75</x:v>
      </x:c>
      <x:c r="F98" s="9" t="n">
        <x:v>7</x:v>
      </x:c>
      <x:c r="G98" s="9" t="n">
        <x:v>10.7142857143</x:v>
      </x:c>
      <x:c r="H98" s="9" t="n">
        <x:v>3.21</x:v>
      </x:c>
      <x:c r="I98" s="9" t="n">
        <x:v>0.4285714286</x:v>
      </x:c>
      <x:c r="J98" s="9" t="n">
        <x:v>9.6666666667</x:v>
      </x:c>
      <x:c r="K98" s="9" t="n">
        <x:f>ROUND(SUM(C98:J98),2)</x:f>
        <x:v>54.19</x:v>
      </x:c>
      <x:c r="L98" s="1" t="str">
        <x:f>IF(K98&gt;=70,"High",IF(K98&gt;=45,"Medium","Low"))</x:f>
        <x:v>Medium</x:v>
      </x:c>
      <x:c r="M98" s="1"/>
      <x:c r="N98" s="1"/>
      <x:c r="O98" s="1"/>
      <x:c r="P98" s="1"/>
      <x:c r="Q98" s="1"/>
    </x:row>
    <x:row r="99" ht="22" customHeight="1">
      <x:c r="A99" s="1" t="str">
        <x:v>O0117</x:v>
      </x:c>
      <x:c r="B99" s="1" t="str">
        <x:v>Simulated Bhubaneswar Arts and Science College 117</x:v>
      </x:c>
      <x:c r="C99" s="9" t="n">
        <x:v>5.459</x:v>
      </x:c>
      <x:c r="D99" s="9" t="n">
        <x:v>6.5</x:v>
      </x:c>
      <x:c r="E99" s="9" t="n">
        <x:v>13.75</x:v>
      </x:c>
      <x:c r="F99" s="9" t="n">
        <x:v>7</x:v>
      </x:c>
      <x:c r="G99" s="9" t="n">
        <x:v>8.1818181818</x:v>
      </x:c>
      <x:c r="H99" s="9" t="n">
        <x:v>3.44</x:v>
      </x:c>
      <x:c r="I99" s="9" t="n">
        <x:v>2.5714285714</x:v>
      </x:c>
      <x:c r="J99" s="9" t="n">
        <x:v>7.1666666667</x:v>
      </x:c>
      <x:c r="K99" s="9" t="n">
        <x:f>ROUND(SUM(C99:J99),2)</x:f>
        <x:v>54.07</x:v>
      </x:c>
      <x:c r="L99" s="1" t="str">
        <x:f>IF(K99&gt;=70,"High",IF(K99&gt;=45,"Medium","Low"))</x:f>
        <x:v>Medium</x:v>
      </x:c>
      <x:c r="M99" s="1"/>
      <x:c r="N99" s="1"/>
      <x:c r="O99" s="1"/>
      <x:c r="P99" s="1"/>
      <x:c r="Q99" s="1"/>
    </x:row>
    <x:row r="100" ht="22" customHeight="1">
      <x:c r="A100" s="1" t="str">
        <x:v>O0572</x:v>
      </x:c>
      <x:c r="B100" s="1" t="str">
        <x:v>Simulated Noida University 572</x:v>
      </x:c>
      <x:c r="C100" s="9" t="n">
        <x:v>4.525</x:v>
      </x:c>
      <x:c r="D100" s="9" t="n">
        <x:v>8.5</x:v>
      </x:c>
      <x:c r="E100" s="9" t="n">
        <x:v>12.5</x:v>
      </x:c>
      <x:c r="F100" s="9" t="n">
        <x:v>7</x:v>
      </x:c>
      <x:c r="G100" s="9" t="n">
        <x:v>7.5</x:v>
      </x:c>
      <x:c r="H100" s="9" t="n">
        <x:v>3.55</x:v>
      </x:c>
      <x:c r="I100" s="9" t="n">
        <x:v>0.4285714286</x:v>
      </x:c>
      <x:c r="J100" s="9" t="n">
        <x:v>10</x:v>
      </x:c>
      <x:c r="K100" s="9" t="n">
        <x:f>ROUND(SUM(C100:J100),2)</x:f>
        <x:v>54</x:v>
      </x:c>
      <x:c r="L100" s="1" t="str">
        <x:f>IF(K100&gt;=70,"High",IF(K100&gt;=45,"Medium","Low"))</x:f>
        <x:v>Medium</x:v>
      </x:c>
      <x:c r="M100" s="1"/>
      <x:c r="N100" s="1"/>
      <x:c r="O100" s="1"/>
      <x:c r="P100" s="1"/>
      <x:c r="Q100" s="1"/>
    </x:row>
    <x:row r="101" ht="22" customHeight="1">
      <x:c r="A101" s="1" t="str">
        <x:v>O0075</x:v>
      </x:c>
      <x:c r="B101" s="1" t="str">
        <x:v>Simulated Indore Arts and Science College 075</x:v>
      </x:c>
      <x:c r="C101" s="9" t="n">
        <x:v>2.652</x:v>
      </x:c>
      <x:c r="D101" s="9" t="n">
        <x:v>6.5</x:v>
      </x:c>
      <x:c r="E101" s="9" t="n">
        <x:v>11.25</x:v>
      </x:c>
      <x:c r="F101" s="9" t="n">
        <x:v>7</x:v>
      </x:c>
      <x:c r="G101" s="9" t="n">
        <x:v>11.6666666667</x:v>
      </x:c>
      <x:c r="H101" s="9" t="n">
        <x:v>1.45</x:v>
      </x:c>
      <x:c r="I101" s="9" t="n">
        <x:v>4.2857142857</x:v>
      </x:c>
      <x:c r="J101" s="9" t="n">
        <x:v>9.1666666667</x:v>
      </x:c>
      <x:c r="K101" s="9" t="n">
        <x:f>ROUND(SUM(C101:J101),2)</x:f>
        <x:v>53.97</x:v>
      </x:c>
      <x:c r="L101" s="1" t="str">
        <x:f>IF(K101&gt;=70,"High",IF(K101&gt;=45,"Medium","Low"))</x:f>
        <x:v>Medium</x:v>
      </x:c>
      <x:c r="M101" s="1"/>
      <x:c r="N101" s="1"/>
      <x:c r="O101" s="1"/>
      <x:c r="P101" s="1"/>
      <x:c r="Q101" s="1"/>
    </x:row>
    <x:row r="102" ht="22" customHeight="1">
      <x:c r="A102" s="1" t="str">
        <x:v>O0266</x:v>
      </x:c>
      <x:c r="B102" s="1" t="str">
        <x:v>Simulated Kolkata Arts and Science College 266</x:v>
      </x:c>
      <x:c r="C102" s="9" t="n">
        <x:v>5.29</x:v>
      </x:c>
      <x:c r="D102" s="9" t="n">
        <x:v>6.5</x:v>
      </x:c>
      <x:c r="E102" s="9" t="n">
        <x:v>12.5</x:v>
      </x:c>
      <x:c r="F102" s="9" t="n">
        <x:v>7</x:v>
      </x:c>
      <x:c r="G102" s="9" t="n">
        <x:v>9</x:v>
      </x:c>
      <x:c r="H102" s="9" t="n">
        <x:v>2.09</x:v>
      </x:c>
      <x:c r="I102" s="9" t="n">
        <x:v>2.5714285714</x:v>
      </x:c>
      <x:c r="J102" s="9" t="n">
        <x:v>9</x:v>
      </x:c>
      <x:c r="K102" s="9" t="n">
        <x:f>ROUND(SUM(C102:J102),2)</x:f>
        <x:v>53.95</x:v>
      </x:c>
      <x:c r="L102" s="1" t="str">
        <x:f>IF(K102&gt;=70,"High",IF(K102&gt;=45,"Medium","Low"))</x:f>
        <x:v>Medium</x:v>
      </x:c>
      <x:c r="M102" s="1"/>
      <x:c r="N102" s="1"/>
      <x:c r="O102" s="1"/>
      <x:c r="P102" s="1"/>
      <x:c r="Q102" s="1"/>
    </x:row>
    <x:row r="103" ht="22" customHeight="1">
      <x:c r="A103" s="1" t="str">
        <x:v>O0568</x:v>
      </x:c>
      <x:c r="B103" s="1" t="str">
        <x:v>Simulated Patna Engineering College 568</x:v>
      </x:c>
      <x:c r="C103" s="9" t="n">
        <x:v>2.027</x:v>
      </x:c>
      <x:c r="D103" s="9" t="n">
        <x:v>6.5</x:v>
      </x:c>
      <x:c r="E103" s="9" t="n">
        <x:v>12.5</x:v>
      </x:c>
      <x:c r="F103" s="9" t="n">
        <x:v>7</x:v>
      </x:c>
      <x:c r="G103" s="9" t="n">
        <x:v>7.5</x:v>
      </x:c>
      <x:c r="H103" s="9" t="n">
        <x:v>1.91</x:v>
      </x:c>
      <x:c r="I103" s="9" t="n">
        <x:v>7.1428571429</x:v>
      </x:c>
      <x:c r="J103" s="9" t="n">
        <x:v>9.3333333333</x:v>
      </x:c>
      <x:c r="K103" s="9" t="n">
        <x:f>ROUND(SUM(C103:J103),2)</x:f>
        <x:v>53.91</x:v>
      </x:c>
      <x:c r="L103" s="1" t="str">
        <x:f>IF(K103&gt;=70,"High",IF(K103&gt;=45,"Medium","Low"))</x:f>
        <x:v>Medium</x:v>
      </x:c>
      <x:c r="M103" s="1"/>
      <x:c r="N103" s="1"/>
      <x:c r="O103" s="1"/>
      <x:c r="P103" s="1"/>
      <x:c r="Q103" s="1"/>
    </x:row>
    <x:row r="104" ht="22" customHeight="1">
      <x:c r="A104" s="1" t="str">
        <x:v>O0566</x:v>
      </x:c>
      <x:c r="B104" s="1" t="str">
        <x:v>Simulated Kolkata Management Institute 566</x:v>
      </x:c>
      <x:c r="C104" s="9" t="n">
        <x:v>4.374</x:v>
      </x:c>
      <x:c r="D104" s="9" t="n">
        <x:v>6.5</x:v>
      </x:c>
      <x:c r="E104" s="9" t="n">
        <x:v>11.25</x:v>
      </x:c>
      <x:c r="F104" s="9" t="n">
        <x:v>7</x:v>
      </x:c>
      <x:c r="G104" s="9" t="n">
        <x:v>10</x:v>
      </x:c>
      <x:c r="H104" s="9" t="n">
        <x:v>2.16</x:v>
      </x:c>
      <x:c r="I104" s="9" t="n">
        <x:v>2.5714285714</x:v>
      </x:c>
      <x:c r="J104" s="9" t="n">
        <x:v>10</x:v>
      </x:c>
      <x:c r="K104" s="9" t="n">
        <x:f>ROUND(SUM(C104:J104),2)</x:f>
        <x:v>53.86</x:v>
      </x:c>
      <x:c r="L104" s="1" t="str">
        <x:f>IF(K104&gt;=70,"High",IF(K104&gt;=45,"Medium","Low"))</x:f>
        <x:v>Medium</x:v>
      </x:c>
      <x:c r="M104" s="1"/>
      <x:c r="N104" s="1"/>
      <x:c r="O104" s="1"/>
      <x:c r="P104" s="1"/>
      <x:c r="Q104" s="1"/>
    </x:row>
    <x:row r="105" ht="22" customHeight="1">
      <x:c r="A105" s="1" t="str">
        <x:v>O0093</x:v>
      </x:c>
      <x:c r="B105" s="1" t="str">
        <x:v>Simulated Gurugram Arts and Science College 093</x:v>
      </x:c>
      <x:c r="C105" s="9" t="n">
        <x:v>2.156</x:v>
      </x:c>
      <x:c r="D105" s="9" t="n">
        <x:v>8.5</x:v>
      </x:c>
      <x:c r="E105" s="9" t="n">
        <x:v>8.75</x:v>
      </x:c>
      <x:c r="F105" s="9" t="n">
        <x:v>7</x:v>
      </x:c>
      <x:c r="G105" s="9" t="n">
        <x:v>10.7142857143</x:v>
      </x:c>
      <x:c r="H105" s="9" t="n">
        <x:v>1.24</x:v>
      </x:c>
      <x:c r="I105" s="9" t="n">
        <x:v>7.1428571429</x:v>
      </x:c>
      <x:c r="J105" s="9" t="n">
        <x:v>8.3333333333</x:v>
      </x:c>
      <x:c r="K105" s="9" t="n">
        <x:f>ROUND(SUM(C105:J105),2)</x:f>
        <x:v>53.84</x:v>
      </x:c>
      <x:c r="L105" s="1" t="str">
        <x:f>IF(K105&gt;=70,"High",IF(K105&gt;=45,"Medium","Low"))</x:f>
        <x:v>Medium</x:v>
      </x:c>
      <x:c r="M105" s="1"/>
      <x:c r="N105" s="1"/>
      <x:c r="O105" s="1"/>
      <x:c r="P105" s="1"/>
      <x:c r="Q105" s="1"/>
    </x:row>
    <x:row r="106" ht="22" customHeight="1">
      <x:c r="A106" s="1" t="str">
        <x:v>O0593</x:v>
      </x:c>
      <x:c r="B106" s="1" t="str">
        <x:v>Simulated Bengaluru Engineering College 593</x:v>
      </x:c>
      <x:c r="C106" s="9" t="n">
        <x:v>5.463</x:v>
      </x:c>
      <x:c r="D106" s="9" t="n">
        <x:v>9</x:v>
      </x:c>
      <x:c r="E106" s="9" t="n">
        <x:v>13.75</x:v>
      </x:c>
      <x:c r="F106" s="9" t="n">
        <x:v>7</x:v>
      </x:c>
      <x:c r="G106" s="9" t="n">
        <x:v>8.1818181818</x:v>
      </x:c>
      <x:c r="H106" s="9" t="n">
        <x:v>2.31</x:v>
      </x:c>
      <x:c r="I106" s="9" t="n">
        <x:v>0.4285714286</x:v>
      </x:c>
      <x:c r="J106" s="9" t="n">
        <x:v>7.6666666667</x:v>
      </x:c>
      <x:c r="K106" s="9" t="n">
        <x:f>ROUND(SUM(C106:J106),2)</x:f>
        <x:v>53.8</x:v>
      </x:c>
      <x:c r="L106" s="1" t="str">
        <x:f>IF(K106&gt;=70,"High",IF(K106&gt;=45,"Medium","Low"))</x:f>
        <x:v>Medium</x:v>
      </x:c>
      <x:c r="M106" s="1"/>
      <x:c r="N106" s="1"/>
      <x:c r="O106" s="1"/>
      <x:c r="P106" s="1"/>
      <x:c r="Q106" s="1"/>
    </x:row>
    <x:row r="107" ht="22" customHeight="1">
      <x:c r="A107" s="1" t="str">
        <x:v>O0342</x:v>
      </x:c>
      <x:c r="B107" s="1" t="str">
        <x:v>Simulated Bhubaneswar Arts and Science College 342</x:v>
      </x:c>
      <x:c r="C107" s="9" t="n">
        <x:v>3.627</x:v>
      </x:c>
      <x:c r="D107" s="9" t="n">
        <x:v>6.5</x:v>
      </x:c>
      <x:c r="E107" s="9" t="n">
        <x:v>13.75</x:v>
      </x:c>
      <x:c r="F107" s="9" t="n">
        <x:v>7</x:v>
      </x:c>
      <x:c r="G107" s="9" t="n">
        <x:v>6.8181818182</x:v>
      </x:c>
      <x:c r="H107" s="9" t="n">
        <x:v>1.75</x:v>
      </x:c>
      <x:c r="I107" s="9" t="n">
        <x:v>7.1428571429</x:v>
      </x:c>
      <x:c r="J107" s="9" t="n">
        <x:v>7.1666666667</x:v>
      </x:c>
      <x:c r="K107" s="9" t="n">
        <x:f>ROUND(SUM(C107:J107),2)</x:f>
        <x:v>53.75</x:v>
      </x:c>
      <x:c r="L107" s="1" t="str">
        <x:f>IF(K107&gt;=70,"High",IF(K107&gt;=45,"Medium","Low"))</x:f>
        <x:v>Medium</x:v>
      </x:c>
      <x:c r="M107" s="1"/>
      <x:c r="N107" s="1"/>
      <x:c r="O107" s="1"/>
      <x:c r="P107" s="1"/>
      <x:c r="Q107" s="1"/>
    </x:row>
    <x:row r="108" ht="22" customHeight="1">
      <x:c r="A108" s="1" t="str">
        <x:v>O0114</x:v>
      </x:c>
      <x:c r="B108" s="1" t="str">
        <x:v>Simulated Chennai Arts and Science College 114</x:v>
      </x:c>
      <x:c r="C108" s="9" t="n">
        <x:v>5.955</x:v>
      </x:c>
      <x:c r="D108" s="9" t="n">
        <x:v>9</x:v>
      </x:c>
      <x:c r="E108" s="9" t="n">
        <x:v>7.5</x:v>
      </x:c>
      <x:c r="F108" s="9" t="n">
        <x:v>7</x:v>
      </x:c>
      <x:c r="G108" s="9" t="n">
        <x:v>10</x:v>
      </x:c>
      <x:c r="H108" s="9" t="n">
        <x:v>3.61</x:v>
      </x:c>
      <x:c r="I108" s="9" t="n">
        <x:v>2.5714285714</x:v>
      </x:c>
      <x:c r="J108" s="9" t="n">
        <x:v>8</x:v>
      </x:c>
      <x:c r="K108" s="9" t="n">
        <x:f>ROUND(SUM(C108:J108),2)</x:f>
        <x:v>53.64</x:v>
      </x:c>
      <x:c r="L108" s="1" t="str">
        <x:f>IF(K108&gt;=70,"High",IF(K108&gt;=45,"Medium","Low"))</x:f>
        <x:v>Medium</x:v>
      </x:c>
      <x:c r="M108" s="1"/>
      <x:c r="N108" s="1"/>
      <x:c r="O108" s="1"/>
      <x:c r="P108" s="1"/>
      <x:c r="Q108" s="1"/>
    </x:row>
    <x:row r="109" ht="22" customHeight="1">
      <x:c r="A109" s="1" t="str">
        <x:v>O0522</x:v>
      </x:c>
      <x:c r="B109" s="1" t="str">
        <x:v>Simulated Bhubaneswar University 522</x:v>
      </x:c>
      <x:c r="C109" s="9" t="n">
        <x:v>2.331</x:v>
      </x:c>
      <x:c r="D109" s="9" t="n">
        <x:v>6.5</x:v>
      </x:c>
      <x:c r="E109" s="9" t="n">
        <x:v>15</x:v>
      </x:c>
      <x:c r="F109" s="9" t="n">
        <x:v>7</x:v>
      </x:c>
      <x:c r="G109" s="9" t="n">
        <x:v>8.75</x:v>
      </x:c>
      <x:c r="H109" s="9" t="n">
        <x:v>2.1</x:v>
      </x:c>
      <x:c r="I109" s="9" t="n">
        <x:v>2.5714285714</x:v>
      </x:c>
      <x:c r="J109" s="9" t="n">
        <x:v>9.1666666667</x:v>
      </x:c>
      <x:c r="K109" s="9" t="n">
        <x:f>ROUND(SUM(C109:J109),2)</x:f>
        <x:v>53.42</x:v>
      </x:c>
      <x:c r="L109" s="1" t="str">
        <x:f>IF(K109&gt;=70,"High",IF(K109&gt;=45,"Medium","Low"))</x:f>
        <x:v>Medium</x:v>
      </x:c>
      <x:c r="M109" s="1"/>
      <x:c r="N109" s="1"/>
      <x:c r="O109" s="1"/>
      <x:c r="P109" s="1"/>
      <x:c r="Q109" s="1"/>
    </x:row>
    <x:row r="110" ht="22" customHeight="1">
      <x:c r="A110" s="1" t="str">
        <x:v>O0041</x:v>
      </x:c>
      <x:c r="B110" s="1" t="str">
        <x:v>Simulated Kolkata University 041</x:v>
      </x:c>
      <x:c r="C110" s="9" t="n">
        <x:v>4.801</x:v>
      </x:c>
      <x:c r="D110" s="9" t="n">
        <x:v>6.5</x:v>
      </x:c>
      <x:c r="E110" s="9" t="n">
        <x:v>12.5</x:v>
      </x:c>
      <x:c r="F110" s="9" t="n">
        <x:v>7</x:v>
      </x:c>
      <x:c r="G110" s="9" t="n">
        <x:v>10.5</x:v>
      </x:c>
      <x:c r="H110" s="9" t="n">
        <x:v>1.99</x:v>
      </x:c>
      <x:c r="I110" s="9" t="n">
        <x:v>0.4285714286</x:v>
      </x:c>
      <x:c r="J110" s="9" t="n">
        <x:v>9.6666666667</x:v>
      </x:c>
      <x:c r="K110" s="9" t="n">
        <x:f>ROUND(SUM(C110:J110),2)</x:f>
        <x:v>53.39</x:v>
      </x:c>
      <x:c r="L110" s="1" t="str">
        <x:f>IF(K110&gt;=70,"High",IF(K110&gt;=45,"Medium","Low"))</x:f>
        <x:v>Medium</x:v>
      </x:c>
      <x:c r="M110" s="1"/>
      <x:c r="N110" s="1"/>
      <x:c r="O110" s="1"/>
      <x:c r="P110" s="1"/>
      <x:c r="Q110" s="1"/>
    </x:row>
    <x:row r="111" ht="22" customHeight="1">
      <x:c r="A111" s="1" t="str">
        <x:v>O0196</x:v>
      </x:c>
      <x:c r="B111" s="1" t="str">
        <x:v>Simulated New Delhi Engineering College 196</x:v>
      </x:c>
      <x:c r="C111" s="9" t="n">
        <x:v>4.787</x:v>
      </x:c>
      <x:c r="D111" s="9" t="n">
        <x:v>8.5</x:v>
      </x:c>
      <x:c r="E111" s="9" t="n">
        <x:v>5</x:v>
      </x:c>
      <x:c r="F111" s="9" t="n">
        <x:v>7</x:v>
      </x:c>
      <x:c r="G111" s="9" t="n">
        <x:v>15</x:v>
      </x:c>
      <x:c r="H111" s="9" t="n">
        <x:v>3.12</x:v>
      </x:c>
      <x:c r="I111" s="9" t="n">
        <x:v>1.4285714286</x:v>
      </x:c>
      <x:c r="J111" s="9" t="n">
        <x:v>8.3333333333</x:v>
      </x:c>
      <x:c r="K111" s="9" t="n">
        <x:f>ROUND(SUM(C111:J111),2)</x:f>
        <x:v>53.17</x:v>
      </x:c>
      <x:c r="L111" s="1" t="str">
        <x:f>IF(K111&gt;=70,"High",IF(K111&gt;=45,"Medium","Low"))</x:f>
        <x:v>Medium</x:v>
      </x:c>
      <x:c r="M111" s="1"/>
      <x:c r="N111" s="1"/>
      <x:c r="O111" s="1"/>
      <x:c r="P111" s="1"/>
      <x:c r="Q111" s="1"/>
    </x:row>
    <x:row r="112" ht="22" customHeight="1">
      <x:c r="A112" s="1" t="str">
        <x:v>O0038</x:v>
      </x:c>
      <x:c r="B112" s="1" t="str">
        <x:v>Simulated Bengaluru Management Institute 038</x:v>
      </x:c>
      <x:c r="C112" s="9" t="n">
        <x:v>2.25</x:v>
      </x:c>
      <x:c r="D112" s="9" t="n">
        <x:v>9</x:v>
      </x:c>
      <x:c r="E112" s="9" t="n">
        <x:v>10</x:v>
      </x:c>
      <x:c r="F112" s="9" t="n">
        <x:v>7</x:v>
      </x:c>
      <x:c r="G112" s="9" t="n">
        <x:v>15</x:v>
      </x:c>
      <x:c r="H112" s="9" t="n">
        <x:v>1.51</x:v>
      </x:c>
      <x:c r="I112" s="9" t="n">
        <x:v>7.1428571429</x:v>
      </x:c>
      <x:c r="J112" s="9" t="n">
        <x:v>1</x:v>
      </x:c>
      <x:c r="K112" s="9" t="n">
        <x:f>ROUND(SUM(C112:J112),2)</x:f>
        <x:v>52.9</x:v>
      </x:c>
      <x:c r="L112" s="1" t="str">
        <x:f>IF(K112&gt;=70,"High",IF(K112&gt;=45,"Medium","Low"))</x:f>
        <x:v>Medium</x:v>
      </x:c>
      <x:c r="M112" s="1"/>
      <x:c r="N112" s="1"/>
      <x:c r="O112" s="1"/>
      <x:c r="P112" s="1"/>
      <x:c r="Q112" s="1"/>
    </x:row>
    <x:row r="113" ht="22" customHeight="1">
      <x:c r="A113" s="1" t="str">
        <x:v>O0119</x:v>
      </x:c>
      <x:c r="B113" s="1" t="str">
        <x:v>Simulated Guwahati University 119</x:v>
      </x:c>
      <x:c r="C113" s="9" t="n">
        <x:v>5.099</x:v>
      </x:c>
      <x:c r="D113" s="9" t="n">
        <x:v>5.5</x:v>
      </x:c>
      <x:c r="E113" s="9" t="n">
        <x:v>13.75</x:v>
      </x:c>
      <x:c r="F113" s="9" t="n">
        <x:v>7</x:v>
      </x:c>
      <x:c r="G113" s="9" t="n">
        <x:v>9.5454545455</x:v>
      </x:c>
      <x:c r="H113" s="9" t="n">
        <x:v>3.41</x:v>
      </x:c>
      <x:c r="I113" s="9" t="n">
        <x:v>0.4285714286</x:v>
      </x:c>
      <x:c r="J113" s="9" t="n">
        <x:v>8.1666666667</x:v>
      </x:c>
      <x:c r="K113" s="9" t="n">
        <x:f>ROUND(SUM(C113:J113),2)</x:f>
        <x:v>52.9</x:v>
      </x:c>
      <x:c r="L113" s="1" t="str">
        <x:f>IF(K113&gt;=70,"High",IF(K113&gt;=45,"Medium","Low"))</x:f>
        <x:v>Medium</x:v>
      </x:c>
      <x:c r="M113" s="1"/>
      <x:c r="N113" s="1"/>
      <x:c r="O113" s="1"/>
      <x:c r="P113" s="1"/>
      <x:c r="Q113" s="1"/>
    </x:row>
    <x:row r="114" ht="22" customHeight="1">
      <x:c r="A114" s="1" t="str">
        <x:v>O0262</x:v>
      </x:c>
      <x:c r="B114" s="1" t="str">
        <x:v>Simulated Jaipur Engineering College 262</x:v>
      </x:c>
      <x:c r="C114" s="9" t="n">
        <x:v>2.198</x:v>
      </x:c>
      <x:c r="D114" s="9" t="n">
        <x:v>8</x:v>
      </x:c>
      <x:c r="E114" s="9" t="n">
        <x:v>12.5</x:v>
      </x:c>
      <x:c r="F114" s="9" t="n">
        <x:v>7</x:v>
      </x:c>
      <x:c r="G114" s="9" t="n">
        <x:v>12</x:v>
      </x:c>
      <x:c r="H114" s="9" t="n">
        <x:v>1.97</x:v>
      </x:c>
      <x:c r="I114" s="9" t="n">
        <x:v>0.4285714286</x:v>
      </x:c>
      <x:c r="J114" s="9" t="n">
        <x:v>8.6666666667</x:v>
      </x:c>
      <x:c r="K114" s="9" t="n">
        <x:f>ROUND(SUM(C114:J114),2)</x:f>
        <x:v>52.76</x:v>
      </x:c>
      <x:c r="L114" s="1" t="str">
        <x:f>IF(K114&gt;=70,"High",IF(K114&gt;=45,"Medium","Low"))</x:f>
        <x:v>Medium</x:v>
      </x:c>
      <x:c r="M114" s="1"/>
      <x:c r="N114" s="1"/>
      <x:c r="O114" s="1"/>
      <x:c r="P114" s="1"/>
      <x:c r="Q114" s="1"/>
    </x:row>
    <x:row r="115" ht="22" customHeight="1">
      <x:c r="A115" s="1" t="str">
        <x:v>O0447</x:v>
      </x:c>
      <x:c r="B115" s="1" t="str">
        <x:v>Simulated Bhubaneswar Engineering College 447</x:v>
      </x:c>
      <x:c r="C115" s="9" t="n">
        <x:v>1.437</x:v>
      </x:c>
      <x:c r="D115" s="9" t="n">
        <x:v>6.5</x:v>
      </x:c>
      <x:c r="E115" s="9" t="n">
        <x:v>11.25</x:v>
      </x:c>
      <x:c r="F115" s="9" t="n">
        <x:v>4</x:v>
      </x:c>
      <x:c r="G115" s="9" t="n">
        <x:v>8.3333333333</x:v>
      </x:c>
      <x:c r="H115" s="9" t="n">
        <x:v>1.19</x:v>
      </x:c>
      <x:c r="I115" s="9" t="n">
        <x:v>10</x:v>
      </x:c>
      <x:c r="J115" s="9" t="n">
        <x:v>10</x:v>
      </x:c>
      <x:c r="K115" s="9" t="n">
        <x:f>ROUND(SUM(C115:J115),2)</x:f>
        <x:v>52.71</x:v>
      </x:c>
      <x:c r="L115" s="1" t="str">
        <x:f>IF(K115&gt;=70,"High",IF(K115&gt;=45,"Medium","Low"))</x:f>
        <x:v>Medium</x:v>
      </x:c>
      <x:c r="M115" s="1"/>
      <x:c r="N115" s="1"/>
      <x:c r="O115" s="1"/>
      <x:c r="P115" s="1"/>
      <x:c r="Q115" s="1"/>
    </x:row>
    <x:row r="116" ht="22" customHeight="1">
      <x:c r="A116" s="1" t="str">
        <x:v>O0338</x:v>
      </x:c>
      <x:c r="B116" s="1" t="str">
        <x:v>Simulated Bengaluru Engineering College 338</x:v>
      </x:c>
      <x:c r="C116" s="9" t="n">
        <x:v>3.959</x:v>
      </x:c>
      <x:c r="D116" s="9" t="n">
        <x:v>9</x:v>
      </x:c>
      <x:c r="E116" s="9" t="n">
        <x:v>10</x:v>
      </x:c>
      <x:c r="F116" s="9" t="n">
        <x:v>7</x:v>
      </x:c>
      <x:c r="G116" s="9" t="n">
        <x:v>9.375</x:v>
      </x:c>
      <x:c r="H116" s="9" t="n">
        <x:v>2.43</x:v>
      </x:c>
      <x:c r="I116" s="9" t="n">
        <x:v>1.4285714286</x:v>
      </x:c>
      <x:c r="J116" s="9" t="n">
        <x:v>9.5</x:v>
      </x:c>
      <x:c r="K116" s="9" t="n">
        <x:f>ROUND(SUM(C116:J116),2)</x:f>
        <x:v>52.69</x:v>
      </x:c>
      <x:c r="L116" s="1" t="str">
        <x:f>IF(K116&gt;=70,"High",IF(K116&gt;=45,"Medium","Low"))</x:f>
        <x:v>Medium</x:v>
      </x:c>
      <x:c r="M116" s="1"/>
      <x:c r="N116" s="1"/>
      <x:c r="O116" s="1"/>
      <x:c r="P116" s="1"/>
      <x:c r="Q116" s="1"/>
    </x:row>
    <x:row r="117" ht="22" customHeight="1">
      <x:c r="A117" s="1" t="str">
        <x:v>O0444</x:v>
      </x:c>
      <x:c r="B117" s="1" t="str">
        <x:v>Simulated Chennai Management Institute 444</x:v>
      </x:c>
      <x:c r="C117" s="9" t="n">
        <x:v>4.998</x:v>
      </x:c>
      <x:c r="D117" s="9" t="n">
        <x:v>9</x:v>
      </x:c>
      <x:c r="E117" s="9" t="n">
        <x:v>13.75</x:v>
      </x:c>
      <x:c r="F117" s="9" t="n">
        <x:v>7</x:v>
      </x:c>
      <x:c r="G117" s="9" t="n">
        <x:v>6.8181818182</x:v>
      </x:c>
      <x:c r="H117" s="9" t="n">
        <x:v>1.82</x:v>
      </x:c>
      <x:c r="I117" s="9" t="n">
        <x:v>0.4285714286</x:v>
      </x:c>
      <x:c r="J117" s="9" t="n">
        <x:v>8.8333333333</x:v>
      </x:c>
      <x:c r="K117" s="9" t="n">
        <x:f>ROUND(SUM(C117:J117),2)</x:f>
        <x:v>52.65</x:v>
      </x:c>
      <x:c r="L117" s="1" t="str">
        <x:f>IF(K117&gt;=70,"High",IF(K117&gt;=45,"Medium","Low"))</x:f>
        <x:v>Medium</x:v>
      </x:c>
      <x:c r="M117" s="1"/>
      <x:c r="N117" s="1"/>
      <x:c r="O117" s="1"/>
      <x:c r="P117" s="1"/>
      <x:c r="Q117" s="1"/>
    </x:row>
    <x:row r="118" ht="22" customHeight="1">
      <x:c r="A118" s="1" t="str">
        <x:v>O0004</x:v>
      </x:c>
      <x:c r="B118" s="1" t="str">
        <x:v>Simulated Ludhiana University 004</x:v>
      </x:c>
      <x:c r="C118" s="9" t="n">
        <x:v>1.927</x:v>
      </x:c>
      <x:c r="D118" s="9" t="n">
        <x:v>8.5</x:v>
      </x:c>
      <x:c r="E118" s="9" t="n">
        <x:v>12.5</x:v>
      </x:c>
      <x:c r="F118" s="9" t="n">
        <x:v>4</x:v>
      </x:c>
      <x:c r="G118" s="9" t="n">
        <x:v>12</x:v>
      </x:c>
      <x:c r="H118" s="9" t="n">
        <x:v>1.71</x:v>
      </x:c>
      <x:c r="I118" s="9" t="n">
        <x:v>2.5714285714</x:v>
      </x:c>
      <x:c r="J118" s="9" t="n">
        <x:v>9.3333333333</x:v>
      </x:c>
      <x:c r="K118" s="9" t="n">
        <x:f>ROUND(SUM(C118:J118),2)</x:f>
        <x:v>52.54</x:v>
      </x:c>
      <x:c r="L118" s="1" t="str">
        <x:f>IF(K118&gt;=70,"High",IF(K118&gt;=45,"Medium","Low"))</x:f>
        <x:v>Medium</x:v>
      </x:c>
      <x:c r="M118" s="1"/>
      <x:c r="N118" s="1"/>
      <x:c r="O118" s="1"/>
      <x:c r="P118" s="1"/>
      <x:c r="Q118" s="1"/>
    </x:row>
    <x:row r="119" ht="22" customHeight="1">
      <x:c r="A119" s="1" t="str">
        <x:v>O0049</x:v>
      </x:c>
      <x:c r="B119" s="1" t="str">
        <x:v>Simulated Ludhiana University 049</x:v>
      </x:c>
      <x:c r="C119" s="9" t="n">
        <x:v>4.072</x:v>
      </x:c>
      <x:c r="D119" s="9" t="n">
        <x:v>8.5</x:v>
      </x:c>
      <x:c r="E119" s="9" t="n">
        <x:v>11.25</x:v>
      </x:c>
      <x:c r="F119" s="9" t="n">
        <x:v>7</x:v>
      </x:c>
      <x:c r="G119" s="9" t="n">
        <x:v>8.3333333333</x:v>
      </x:c>
      <x:c r="H119" s="9" t="n">
        <x:v>3.07</x:v>
      </x:c>
      <x:c r="I119" s="9" t="n">
        <x:v>0.4285714286</x:v>
      </x:c>
      <x:c r="J119" s="9" t="n">
        <x:v>9.8333333333</x:v>
      </x:c>
      <x:c r="K119" s="9" t="n">
        <x:f>ROUND(SUM(C119:J119),2)</x:f>
        <x:v>52.49</x:v>
      </x:c>
      <x:c r="L119" s="1" t="str">
        <x:f>IF(K119&gt;=70,"High",IF(K119&gt;=45,"Medium","Low"))</x:f>
        <x:v>Medium</x:v>
      </x:c>
      <x:c r="M119" s="1"/>
      <x:c r="N119" s="1"/>
      <x:c r="O119" s="1"/>
      <x:c r="P119" s="1"/>
      <x:c r="Q119" s="1"/>
    </x:row>
    <x:row r="120" ht="22" customHeight="1">
      <x:c r="A120" s="1" t="str">
        <x:v>O0600</x:v>
      </x:c>
      <x:c r="B120" s="1" t="str">
        <x:v>Simulated Indore Arts and Science College 600</x:v>
      </x:c>
      <x:c r="C120" s="9" t="n">
        <x:v>3.086</x:v>
      </x:c>
      <x:c r="D120" s="9" t="n">
        <x:v>6.5</x:v>
      </x:c>
      <x:c r="E120" s="9" t="n">
        <x:v>6.25</x:v>
      </x:c>
      <x:c r="F120" s="9" t="n">
        <x:v>7</x:v>
      </x:c>
      <x:c r="G120" s="9" t="n">
        <x:v>15</x:v>
      </x:c>
      <x:c r="H120" s="9" t="n">
        <x:v>2.65</x:v>
      </x:c>
      <x:c r="I120" s="9" t="n">
        <x:v>4.2857142857</x:v>
      </x:c>
      <x:c r="J120" s="9" t="n">
        <x:v>7.6666666667</x:v>
      </x:c>
      <x:c r="K120" s="9" t="n">
        <x:f>ROUND(SUM(C120:J120),2)</x:f>
        <x:v>52.44</x:v>
      </x:c>
      <x:c r="L120" s="1" t="str">
        <x:f>IF(K120&gt;=70,"High",IF(K120&gt;=45,"Medium","Low"))</x:f>
        <x:v>Medium</x:v>
      </x:c>
      <x:c r="M120" s="1"/>
      <x:c r="N120" s="1"/>
      <x:c r="O120" s="1"/>
      <x:c r="P120" s="1"/>
      <x:c r="Q120" s="1"/>
    </x:row>
    <x:row r="121" ht="22" customHeight="1">
      <x:c r="A121" s="1" t="str">
        <x:v>O0346</x:v>
      </x:c>
      <x:c r="B121" s="1" t="str">
        <x:v>Simulated New Delhi Management Institute 346</x:v>
      </x:c>
      <x:c r="C121" s="9" t="n">
        <x:v>3.996</x:v>
      </x:c>
      <x:c r="D121" s="9" t="n">
        <x:v>8.5</x:v>
      </x:c>
      <x:c r="E121" s="9" t="n">
        <x:v>6.25</x:v>
      </x:c>
      <x:c r="F121" s="9" t="n">
        <x:v>7</x:v>
      </x:c>
      <x:c r="G121" s="9" t="n">
        <x:v>9</x:v>
      </x:c>
      <x:c r="H121" s="9" t="n">
        <x:v>2.66</x:v>
      </x:c>
      <x:c r="I121" s="9" t="n">
        <x:v>7.1428571429</x:v>
      </x:c>
      <x:c r="J121" s="9" t="n">
        <x:v>7.8333333333</x:v>
      </x:c>
      <x:c r="K121" s="9" t="n">
        <x:f>ROUND(SUM(C121:J121),2)</x:f>
        <x:v>52.38</x:v>
      </x:c>
      <x:c r="L121" s="1" t="str">
        <x:f>IF(K121&gt;=70,"High",IF(K121&gt;=45,"Medium","Low"))</x:f>
        <x:v>Medium</x:v>
      </x:c>
      <x:c r="M121" s="1"/>
      <x:c r="N121" s="1"/>
      <x:c r="O121" s="1"/>
      <x:c r="P121" s="1"/>
      <x:c r="Q121" s="1"/>
    </x:row>
    <x:row r="122" ht="22" customHeight="1">
      <x:c r="A122" s="1" t="str">
        <x:v>O0230</x:v>
      </x:c>
      <x:c r="B122" s="1" t="str">
        <x:v>Simulated Pune Arts and Science College 230</x:v>
      </x:c>
      <x:c r="C122" s="9" t="n">
        <x:v>4.817</x:v>
      </x:c>
      <x:c r="D122" s="9" t="n">
        <x:v>8</x:v>
      </x:c>
      <x:c r="E122" s="9" t="n">
        <x:v>8.75</x:v>
      </x:c>
      <x:c r="F122" s="9" t="n">
        <x:v>7</x:v>
      </x:c>
      <x:c r="G122" s="9" t="n">
        <x:v>10.7142857143</x:v>
      </x:c>
      <x:c r="H122" s="9" t="n">
        <x:v>2.52</x:v>
      </x:c>
      <x:c r="I122" s="9" t="n">
        <x:v>2.5714285714</x:v>
      </x:c>
      <x:c r="J122" s="9" t="n">
        <x:v>8</x:v>
      </x:c>
      <x:c r="K122" s="9" t="n">
        <x:f>ROUND(SUM(C122:J122),2)</x:f>
        <x:v>52.37</x:v>
      </x:c>
      <x:c r="L122" s="1" t="str">
        <x:f>IF(K122&gt;=70,"High",IF(K122&gt;=45,"Medium","Low"))</x:f>
        <x:v>Medium</x:v>
      </x:c>
      <x:c r="M122" s="1"/>
      <x:c r="N122" s="1"/>
      <x:c r="O122" s="1"/>
      <x:c r="P122" s="1"/>
      <x:c r="Q122" s="1"/>
    </x:row>
    <x:row r="123" ht="22" customHeight="1">
      <x:c r="A123" s="1" t="str">
        <x:v>O0253</x:v>
      </x:c>
      <x:c r="B123" s="1" t="str">
        <x:v>Simulated Patna University 253</x:v>
      </x:c>
      <x:c r="C123" s="9" t="n">
        <x:v>2.167</x:v>
      </x:c>
      <x:c r="D123" s="9" t="n">
        <x:v>6.5</x:v>
      </x:c>
      <x:c r="E123" s="9" t="n">
        <x:v>15</x:v>
      </x:c>
      <x:c r="F123" s="9" t="n">
        <x:v>7</x:v>
      </x:c>
      <x:c r="G123" s="9" t="n">
        <x:v>10</x:v>
      </x:c>
      <x:c r="H123" s="9" t="n">
        <x:v>1.45</x:v>
      </x:c>
      <x:c r="I123" s="9" t="n">
        <x:v>1.4285714286</x:v>
      </x:c>
      <x:c r="J123" s="9" t="n">
        <x:v>8.6666666667</x:v>
      </x:c>
      <x:c r="K123" s="9" t="n">
        <x:f>ROUND(SUM(C123:J123),2)</x:f>
        <x:v>52.21</x:v>
      </x:c>
      <x:c r="L123" s="1" t="str">
        <x:f>IF(K123&gt;=70,"High",IF(K123&gt;=45,"Medium","Low"))</x:f>
        <x:v>Medium</x:v>
      </x:c>
      <x:c r="M123" s="1"/>
      <x:c r="N123" s="1"/>
      <x:c r="O123" s="1"/>
      <x:c r="P123" s="1"/>
      <x:c r="Q123" s="1"/>
    </x:row>
    <x:row r="124" ht="22" customHeight="1">
      <x:c r="A124" s="1" t="str">
        <x:v>O0055</x:v>
      </x:c>
      <x:c r="B124" s="1" t="str">
        <x:v>Simulated Hyderabad Management Institute 055</x:v>
      </x:c>
      <x:c r="C124" s="9" t="n">
        <x:v>4.374</x:v>
      </x:c>
      <x:c r="D124" s="9" t="n">
        <x:v>9</x:v>
      </x:c>
      <x:c r="E124" s="9" t="n">
        <x:v>13.75</x:v>
      </x:c>
      <x:c r="F124" s="9" t="n">
        <x:v>7</x:v>
      </x:c>
      <x:c r="G124" s="9" t="n">
        <x:v>5.4545454545</x:v>
      </x:c>
      <x:c r="H124" s="9" t="n">
        <x:v>3.68</x:v>
      </x:c>
      <x:c r="I124" s="9" t="n">
        <x:v>0.4285714286</x:v>
      </x:c>
      <x:c r="J124" s="9" t="n">
        <x:v>8.5</x:v>
      </x:c>
      <x:c r="K124" s="9" t="n">
        <x:f>ROUND(SUM(C124:J124),2)</x:f>
        <x:v>52.19</x:v>
      </x:c>
      <x:c r="L124" s="1" t="str">
        <x:f>IF(K124&gt;=70,"High",IF(K124&gt;=45,"Medium","Low"))</x:f>
        <x:v>Medium</x:v>
      </x:c>
      <x:c r="M124" s="1"/>
      <x:c r="N124" s="1"/>
      <x:c r="O124" s="1"/>
      <x:c r="P124" s="1"/>
      <x:c r="Q124" s="1"/>
    </x:row>
    <x:row r="125" ht="22" customHeight="1">
      <x:c r="A125" s="1" t="str">
        <x:v>O0578</x:v>
      </x:c>
      <x:c r="B125" s="1" t="str">
        <x:v>Simulated Bengaluru Management Institute 578</x:v>
      </x:c>
      <x:c r="C125" s="9" t="n">
        <x:v>5.357</x:v>
      </x:c>
      <x:c r="D125" s="9" t="n">
        <x:v>9</x:v>
      </x:c>
      <x:c r="E125" s="9" t="n">
        <x:v>10</x:v>
      </x:c>
      <x:c r="F125" s="9" t="n">
        <x:v>7</x:v>
      </x:c>
      <x:c r="G125" s="9" t="n">
        <x:v>3.75</x:v>
      </x:c>
      <x:c r="H125" s="9" t="n">
        <x:v>2.93</x:v>
      </x:c>
      <x:c r="I125" s="9" t="n">
        <x:v>7.1428571429</x:v>
      </x:c>
      <x:c r="J125" s="9" t="n">
        <x:v>7</x:v>
      </x:c>
      <x:c r="K125" s="9" t="n">
        <x:f>ROUND(SUM(C125:J125),2)</x:f>
        <x:v>52.18</x:v>
      </x:c>
      <x:c r="L125" s="1" t="str">
        <x:f>IF(K125&gt;=70,"High",IF(K125&gt;=45,"Medium","Low"))</x:f>
        <x:v>Medium</x:v>
      </x:c>
      <x:c r="M125" s="1"/>
      <x:c r="N125" s="1"/>
      <x:c r="O125" s="1"/>
      <x:c r="P125" s="1"/>
      <x:c r="Q125" s="1"/>
    </x:row>
    <x:row r="126" ht="22" customHeight="1">
      <x:c r="A126" s="1" t="str">
        <x:v>O0591</x:v>
      </x:c>
      <x:c r="B126" s="1" t="str">
        <x:v>Simulated Ahmedabad Management Institute 591</x:v>
      </x:c>
      <x:c r="C126" s="9" t="n">
        <x:v>2.659</x:v>
      </x:c>
      <x:c r="D126" s="9" t="n">
        <x:v>8</x:v>
      </x:c>
      <x:c r="E126" s="9" t="n">
        <x:v>5</x:v>
      </x:c>
      <x:c r="F126" s="9" t="n">
        <x:v>7</x:v>
      </x:c>
      <x:c r="G126" s="9" t="n">
        <x:v>11.25</x:v>
      </x:c>
      <x:c r="H126" s="9" t="n">
        <x:v>2.25</x:v>
      </x:c>
      <x:c r="I126" s="9" t="n">
        <x:v>7.1428571429</x:v>
      </x:c>
      <x:c r="J126" s="9" t="n">
        <x:v>8.8333333333</x:v>
      </x:c>
      <x:c r="K126" s="9" t="n">
        <x:f>ROUND(SUM(C126:J126),2)</x:f>
        <x:v>52.14</x:v>
      </x:c>
      <x:c r="L126" s="1" t="str">
        <x:f>IF(K126&gt;=70,"High",IF(K126&gt;=45,"Medium","Low"))</x:f>
        <x:v>Medium</x:v>
      </x:c>
      <x:c r="M126" s="1"/>
      <x:c r="N126" s="1"/>
      <x:c r="O126" s="1"/>
      <x:c r="P126" s="1"/>
      <x:c r="Q126" s="1"/>
    </x:row>
    <x:row r="127" ht="22" customHeight="1">
      <x:c r="A127" s="1" t="str">
        <x:v>O0412</x:v>
      </x:c>
      <x:c r="B127" s="1" t="str">
        <x:v>Simulated Jaipur Engineering College 412</x:v>
      </x:c>
      <x:c r="C127" s="9" t="n">
        <x:v>2.359</x:v>
      </x:c>
      <x:c r="D127" s="9" t="n">
        <x:v>8</x:v>
      </x:c>
      <x:c r="E127" s="9" t="n">
        <x:v>10</x:v>
      </x:c>
      <x:c r="F127" s="9" t="n">
        <x:v>7</x:v>
      </x:c>
      <x:c r="G127" s="9" t="n">
        <x:v>3.75</x:v>
      </x:c>
      <x:c r="H127" s="9" t="n">
        <x:v>1.62</x:v>
      </x:c>
      <x:c r="I127" s="9" t="n">
        <x:v>10</x:v>
      </x:c>
      <x:c r="J127" s="9" t="n">
        <x:v>9.3333333333</x:v>
      </x:c>
      <x:c r="K127" s="9" t="n">
        <x:f>ROUND(SUM(C127:J127),2)</x:f>
        <x:v>52.06</x:v>
      </x:c>
      <x:c r="L127" s="1" t="str">
        <x:f>IF(K127&gt;=70,"High",IF(K127&gt;=45,"Medium","Low"))</x:f>
        <x:v>Medium</x:v>
      </x:c>
      <x:c r="M127" s="1"/>
      <x:c r="N127" s="1"/>
      <x:c r="O127" s="1"/>
      <x:c r="P127" s="1"/>
      <x:c r="Q127" s="1"/>
    </x:row>
    <x:row r="128" ht="22" customHeight="1">
      <x:c r="A128" s="1" t="str">
        <x:v>O0025</x:v>
      </x:c>
      <x:c r="B128" s="1" t="str">
        <x:v>Simulated Hyderabad Engineering College 025</x:v>
      </x:c>
      <x:c r="C128" s="9" t="n">
        <x:v>5.213</x:v>
      </x:c>
      <x:c r="D128" s="9" t="n">
        <x:v>9</x:v>
      </x:c>
      <x:c r="E128" s="9" t="n">
        <x:v>11.25</x:v>
      </x:c>
      <x:c r="F128" s="9" t="n">
        <x:v>7</x:v>
      </x:c>
      <x:c r="G128" s="9" t="n">
        <x:v>6.6666666667</x:v>
      </x:c>
      <x:c r="H128" s="9" t="n">
        <x:v>3.49</x:v>
      </x:c>
      <x:c r="I128" s="9" t="n">
        <x:v>1.4285714286</x:v>
      </x:c>
      <x:c r="J128" s="9" t="n">
        <x:v>8</x:v>
      </x:c>
      <x:c r="K128" s="9" t="n">
        <x:f>ROUND(SUM(C128:J128),2)</x:f>
        <x:v>52.05</x:v>
      </x:c>
      <x:c r="L128" s="1" t="str">
        <x:f>IF(K128&gt;=70,"High",IF(K128&gt;=45,"Medium","Low"))</x:f>
        <x:v>Medium</x:v>
      </x:c>
      <x:c r="M128" s="1"/>
      <x:c r="N128" s="1"/>
      <x:c r="O128" s="1"/>
      <x:c r="P128" s="1"/>
      <x:c r="Q128" s="1"/>
    </x:row>
    <x:row r="129" ht="22" customHeight="1">
      <x:c r="A129" s="1" t="str">
        <x:v>O0249</x:v>
      </x:c>
      <x:c r="B129" s="1" t="str">
        <x:v>Simulated Chennai Management Institute 249</x:v>
      </x:c>
      <x:c r="C129" s="9" t="n">
        <x:v>4.614</x:v>
      </x:c>
      <x:c r="D129" s="9" t="n">
        <x:v>9</x:v>
      </x:c>
      <x:c r="E129" s="9" t="n">
        <x:v>13.75</x:v>
      </x:c>
      <x:c r="F129" s="9" t="n">
        <x:v>7</x:v>
      </x:c>
      <x:c r="G129" s="9" t="n">
        <x:v>6.8181818182</x:v>
      </x:c>
      <x:c r="H129" s="9" t="n">
        <x:v>2.93</x:v>
      </x:c>
      <x:c r="I129" s="9" t="n">
        <x:v>1.4285714286</x:v>
      </x:c>
      <x:c r="J129" s="9" t="n">
        <x:v>6.5</x:v>
      </x:c>
      <x:c r="K129" s="9" t="n">
        <x:f>ROUND(SUM(C129:J129),2)</x:f>
        <x:v>52.04</x:v>
      </x:c>
      <x:c r="L129" s="1" t="str">
        <x:f>IF(K129&gt;=70,"High",IF(K129&gt;=45,"Medium","Low"))</x:f>
        <x:v>Medium</x:v>
      </x:c>
      <x:c r="M129" s="1"/>
      <x:c r="N129" s="1"/>
      <x:c r="O129" s="1"/>
      <x:c r="P129" s="1"/>
      <x:c r="Q129" s="1"/>
    </x:row>
    <x:row r="130" ht="22" customHeight="1">
      <x:c r="A130" s="1" t="str">
        <x:v>O0439</x:v>
      </x:c>
      <x:c r="B130" s="1" t="str">
        <x:v>Simulated Ludhiana Arts and Science College 439</x:v>
      </x:c>
      <x:c r="C130" s="9" t="n">
        <x:v>5.291</x:v>
      </x:c>
      <x:c r="D130" s="9" t="n">
        <x:v>8.5</x:v>
      </x:c>
      <x:c r="E130" s="9" t="n">
        <x:v>8.75</x:v>
      </x:c>
      <x:c r="F130" s="9" t="n">
        <x:v>7</x:v>
      </x:c>
      <x:c r="G130" s="9" t="n">
        <x:v>8.5714285714</x:v>
      </x:c>
      <x:c r="H130" s="9" t="n">
        <x:v>2.8</x:v>
      </x:c>
      <x:c r="I130" s="9" t="n">
        <x:v>2.5714285714</x:v>
      </x:c>
      <x:c r="J130" s="9" t="n">
        <x:v>8.5</x:v>
      </x:c>
      <x:c r="K130" s="9" t="n">
        <x:f>ROUND(SUM(C130:J130),2)</x:f>
        <x:v>51.98</x:v>
      </x:c>
      <x:c r="L130" s="1" t="str">
        <x:f>IF(K130&gt;=70,"High",IF(K130&gt;=45,"Medium","Low"))</x:f>
        <x:v>Medium</x:v>
      </x:c>
      <x:c r="M130" s="1"/>
      <x:c r="N130" s="1"/>
      <x:c r="O130" s="1"/>
      <x:c r="P130" s="1"/>
      <x:c r="Q130" s="1"/>
    </x:row>
    <x:row r="131" ht="22" customHeight="1">
      <x:c r="A131" s="1" t="str">
        <x:v>O0158</x:v>
      </x:c>
      <x:c r="B131" s="1" t="str">
        <x:v>Simulated Bengaluru Engineering College 158</x:v>
      </x:c>
      <x:c r="C131" s="9" t="n">
        <x:v>4.673</x:v>
      </x:c>
      <x:c r="D131" s="9" t="n">
        <x:v>9</x:v>
      </x:c>
      <x:c r="E131" s="9" t="n">
        <x:v>12.5</x:v>
      </x:c>
      <x:c r="F131" s="9" t="n">
        <x:v>7</x:v>
      </x:c>
      <x:c r="G131" s="9" t="n">
        <x:v>6</x:v>
      </x:c>
      <x:c r="H131" s="9" t="n">
        <x:v>1.96</x:v>
      </x:c>
      <x:c r="I131" s="9" t="n">
        <x:v>1.4285714286</x:v>
      </x:c>
      <x:c r="J131" s="9" t="n">
        <x:v>9.3333333333</x:v>
      </x:c>
      <x:c r="K131" s="9" t="n">
        <x:f>ROUND(SUM(C131:J131),2)</x:f>
        <x:v>51.89</x:v>
      </x:c>
      <x:c r="L131" s="1" t="str">
        <x:f>IF(K131&gt;=70,"High",IF(K131&gt;=45,"Medium","Low"))</x:f>
        <x:v>Medium</x:v>
      </x:c>
      <x:c r="M131" s="1"/>
      <x:c r="N131" s="1"/>
      <x:c r="O131" s="1"/>
      <x:c r="P131" s="1"/>
      <x:c r="Q131" s="1"/>
    </x:row>
    <x:row r="132" ht="22" customHeight="1">
      <x:c r="A132" s="1" t="str">
        <x:v>O0126</x:v>
      </x:c>
      <x:c r="B132" s="1" t="str">
        <x:v>Simulated Ahmedabad Engineering College 126</x:v>
      </x:c>
      <x:c r="C132" s="9" t="n">
        <x:v>2.869</x:v>
      </x:c>
      <x:c r="D132" s="9" t="n">
        <x:v>8</x:v>
      </x:c>
      <x:c r="E132" s="9" t="n">
        <x:v>15</x:v>
      </x:c>
      <x:c r="F132" s="9" t="n">
        <x:v>7</x:v>
      </x:c>
      <x:c r="G132" s="9" t="n">
        <x:v>8.75</x:v>
      </x:c>
      <x:c r="H132" s="9" t="n">
        <x:v>1.43</x:v>
      </x:c>
      <x:c r="I132" s="9" t="n">
        <x:v>0.4285714286</x:v>
      </x:c>
      <x:c r="J132" s="9" t="n">
        <x:v>8.3333333333</x:v>
      </x:c>
      <x:c r="K132" s="9" t="n">
        <x:f>ROUND(SUM(C132:J132),2)</x:f>
        <x:v>51.81</x:v>
      </x:c>
      <x:c r="L132" s="1" t="str">
        <x:f>IF(K132&gt;=70,"High",IF(K132&gt;=45,"Medium","Low"))</x:f>
        <x:v>Medium</x:v>
      </x:c>
      <x:c r="M132" s="1"/>
      <x:c r="N132" s="1"/>
      <x:c r="O132" s="1"/>
      <x:c r="P132" s="1"/>
      <x:c r="Q132" s="1"/>
    </x:row>
    <x:row r="133" ht="22" customHeight="1">
      <x:c r="A133" s="1" t="str">
        <x:v>O0453</x:v>
      </x:c>
      <x:c r="B133" s="1" t="str">
        <x:v>Simulated Gurugram Engineering College 453</x:v>
      </x:c>
      <x:c r="C133" s="9" t="n">
        <x:v>4.825</x:v>
      </x:c>
      <x:c r="D133" s="9" t="n">
        <x:v>8.5</x:v>
      </x:c>
      <x:c r="E133" s="9" t="n">
        <x:v>12.5</x:v>
      </x:c>
      <x:c r="F133" s="9" t="n">
        <x:v>7</x:v>
      </x:c>
      <x:c r="G133" s="9" t="n">
        <x:v>4.5</x:v>
      </x:c>
      <x:c r="H133" s="9" t="n">
        <x:v>3.36</x:v>
      </x:c>
      <x:c r="I133" s="9" t="n">
        <x:v>1.4285714286</x:v>
      </x:c>
      <x:c r="J133" s="9" t="n">
        <x:v>9.5</x:v>
      </x:c>
      <x:c r="K133" s="9" t="n">
        <x:f>ROUND(SUM(C133:J133),2)</x:f>
        <x:v>51.61</x:v>
      </x:c>
      <x:c r="L133" s="1" t="str">
        <x:f>IF(K133&gt;=70,"High",IF(K133&gt;=45,"Medium","Low"))</x:f>
        <x:v>Medium</x:v>
      </x:c>
      <x:c r="M133" s="1"/>
      <x:c r="N133" s="1"/>
      <x:c r="O133" s="1"/>
      <x:c r="P133" s="1"/>
      <x:c r="Q133" s="1"/>
    </x:row>
    <x:row r="134" ht="22" customHeight="1">
      <x:c r="A134" s="1" t="str">
        <x:v>O0236</x:v>
      </x:c>
      <x:c r="B134" s="1" t="str">
        <x:v>Simulated Kolkata Engineering College 236</x:v>
      </x:c>
      <x:c r="C134" s="9" t="n">
        <x:v>3.207</x:v>
      </x:c>
      <x:c r="D134" s="9" t="n">
        <x:v>6.5</x:v>
      </x:c>
      <x:c r="E134" s="9" t="n">
        <x:v>15</x:v>
      </x:c>
      <x:c r="F134" s="9" t="n">
        <x:v>7</x:v>
      </x:c>
      <x:c r="G134" s="9" t="n">
        <x:v>8.75</x:v>
      </x:c>
      <x:c r="H134" s="9" t="n">
        <x:v>2.04</x:v>
      </x:c>
      <x:c r="I134" s="9" t="n">
        <x:v>0.4285714286</x:v>
      </x:c>
      <x:c r="J134" s="9" t="n">
        <x:v>8.6666666667</x:v>
      </x:c>
      <x:c r="K134" s="9" t="n">
        <x:f>ROUND(SUM(C134:J134),2)</x:f>
        <x:v>51.59</x:v>
      </x:c>
      <x:c r="L134" s="1" t="str">
        <x:f>IF(K134&gt;=70,"High",IF(K134&gt;=45,"Medium","Low"))</x:f>
        <x:v>Medium</x:v>
      </x:c>
      <x:c r="M134" s="1"/>
      <x:c r="N134" s="1"/>
      <x:c r="O134" s="1"/>
      <x:c r="P134" s="1"/>
      <x:c r="Q134" s="1"/>
    </x:row>
    <x:row r="135" ht="22" customHeight="1">
      <x:c r="A135" s="1" t="str">
        <x:v>O0485</x:v>
      </x:c>
      <x:c r="B135" s="1" t="str">
        <x:v>Simulated Pune Arts and Science College 485</x:v>
      </x:c>
      <x:c r="C135" s="9" t="n">
        <x:v>4.594</x:v>
      </x:c>
      <x:c r="D135" s="9" t="n">
        <x:v>8</x:v>
      </x:c>
      <x:c r="E135" s="9" t="n">
        <x:v>12.5</x:v>
      </x:c>
      <x:c r="F135" s="9" t="n">
        <x:v>7</x:v>
      </x:c>
      <x:c r="G135" s="9" t="n">
        <x:v>6</x:v>
      </x:c>
      <x:c r="H135" s="9" t="n">
        <x:v>3.53</x:v>
      </x:c>
      <x:c r="I135" s="9" t="n">
        <x:v>1.4285714286</x:v>
      </x:c>
      <x:c r="J135" s="9" t="n">
        <x:v>8.5</x:v>
      </x:c>
      <x:c r="K135" s="9" t="n">
        <x:f>ROUND(SUM(C135:J135),2)</x:f>
        <x:v>51.55</x:v>
      </x:c>
      <x:c r="L135" s="1" t="str">
        <x:f>IF(K135&gt;=70,"High",IF(K135&gt;=45,"Medium","Low"))</x:f>
        <x:v>Medium</x:v>
      </x:c>
      <x:c r="M135" s="1"/>
      <x:c r="N135" s="1"/>
      <x:c r="O135" s="1"/>
      <x:c r="P135" s="1"/>
      <x:c r="Q135" s="1"/>
    </x:row>
    <x:row r="136" ht="22" customHeight="1">
      <x:c r="A136" s="1" t="str">
        <x:v>O0515</x:v>
      </x:c>
      <x:c r="B136" s="1" t="str">
        <x:v>Simulated Pune Arts and Science College 515</x:v>
      </x:c>
      <x:c r="C136" s="9" t="n">
        <x:v>3.541</x:v>
      </x:c>
      <x:c r="D136" s="9" t="n">
        <x:v>8</x:v>
      </x:c>
      <x:c r="E136" s="9" t="n">
        <x:v>13.75</x:v>
      </x:c>
      <x:c r="F136" s="9" t="n">
        <x:v>7</x:v>
      </x:c>
      <x:c r="G136" s="9" t="n">
        <x:v>6.8181818182</x:v>
      </x:c>
      <x:c r="H136" s="9" t="n">
        <x:v>1.9</x:v>
      </x:c>
      <x:c r="I136" s="9" t="n">
        <x:v>0.4285714286</x:v>
      </x:c>
      <x:c r="J136" s="9" t="n">
        <x:v>10</x:v>
      </x:c>
      <x:c r="K136" s="9" t="n">
        <x:f>ROUND(SUM(C136:J136),2)</x:f>
        <x:v>51.44</x:v>
      </x:c>
      <x:c r="L136" s="1" t="str">
        <x:f>IF(K136&gt;=70,"High",IF(K136&gt;=45,"Medium","Low"))</x:f>
        <x:v>Medium</x:v>
      </x:c>
      <x:c r="M136" s="1"/>
      <x:c r="N136" s="1"/>
      <x:c r="O136" s="1"/>
      <x:c r="P136" s="1"/>
      <x:c r="Q136" s="1"/>
    </x:row>
    <x:row r="137" ht="22" customHeight="1">
      <x:c r="A137" s="1" t="str">
        <x:v>O0006</x:v>
      </x:c>
      <x:c r="B137" s="1" t="str">
        <x:v>Simulated Ahmedabad Engineering College 006</x:v>
      </x:c>
      <x:c r="C137" s="9" t="n">
        <x:v>2.103</x:v>
      </x:c>
      <x:c r="D137" s="9" t="n">
        <x:v>8</x:v>
      </x:c>
      <x:c r="E137" s="9" t="n">
        <x:v>10</x:v>
      </x:c>
      <x:c r="F137" s="9" t="n">
        <x:v>7</x:v>
      </x:c>
      <x:c r="G137" s="9" t="n">
        <x:v>11.25</x:v>
      </x:c>
      <x:c r="H137" s="9" t="n">
        <x:v>1.97</x:v>
      </x:c>
      <x:c r="I137" s="9" t="n">
        <x:v>1.4285714286</x:v>
      </x:c>
      <x:c r="J137" s="9" t="n">
        <x:v>9.6666666667</x:v>
      </x:c>
      <x:c r="K137" s="9" t="n">
        <x:f>ROUND(SUM(C137:J137),2)</x:f>
        <x:v>51.42</x:v>
      </x:c>
      <x:c r="L137" s="1" t="str">
        <x:f>IF(K137&gt;=70,"High",IF(K137&gt;=45,"Medium","Low"))</x:f>
        <x:v>Medium</x:v>
      </x:c>
      <x:c r="M137" s="1"/>
      <x:c r="N137" s="1"/>
      <x:c r="O137" s="1"/>
      <x:c r="P137" s="1"/>
      <x:c r="Q137" s="1"/>
    </x:row>
    <x:row r="138" ht="22" customHeight="1">
      <x:c r="A138" s="1" t="str">
        <x:v>O0308</x:v>
      </x:c>
      <x:c r="B138" s="1" t="str">
        <x:v>Simulated Bengaluru Arts and Science College 308</x:v>
      </x:c>
      <x:c r="C138" s="9" t="n">
        <x:v>3.464</x:v>
      </x:c>
      <x:c r="D138" s="9" t="n">
        <x:v>9</x:v>
      </x:c>
      <x:c r="E138" s="9" t="n">
        <x:v>13.75</x:v>
      </x:c>
      <x:c r="F138" s="9" t="n">
        <x:v>7</x:v>
      </x:c>
      <x:c r="G138" s="9" t="n">
        <x:v>8.1818181818</x:v>
      </x:c>
      <x:c r="H138" s="9" t="n">
        <x:v>2.79</x:v>
      </x:c>
      <x:c r="I138" s="9" t="n">
        <x:v>2.5714285714</x:v>
      </x:c>
      <x:c r="J138" s="9" t="n">
        <x:v>4.6666666667</x:v>
      </x:c>
      <x:c r="K138" s="9" t="n">
        <x:f>ROUND(SUM(C138:J138),2)</x:f>
        <x:v>51.42</x:v>
      </x:c>
      <x:c r="L138" s="1" t="str">
        <x:f>IF(K138&gt;=70,"High",IF(K138&gt;=45,"Medium","Low"))</x:f>
        <x:v>Medium</x:v>
      </x:c>
      <x:c r="M138" s="1"/>
      <x:c r="N138" s="1"/>
      <x:c r="O138" s="1"/>
      <x:c r="P138" s="1"/>
      <x:c r="Q138" s="1"/>
    </x:row>
    <x:row r="139" ht="22" customHeight="1">
      <x:c r="A139" s="1" t="str">
        <x:v>O0543</x:v>
      </x:c>
      <x:c r="B139" s="1" t="str">
        <x:v>Simulated Gurugram University 543</x:v>
      </x:c>
      <x:c r="C139" s="9" t="n">
        <x:v>14.682</x:v>
      </x:c>
      <x:c r="D139" s="9" t="n">
        <x:v>8.5</x:v>
      </x:c>
      <x:c r="E139" s="9" t="n">
        <x:v>3.75</x:v>
      </x:c>
      <x:c r="F139" s="9" t="n">
        <x:v>10</x:v>
      </x:c>
      <x:c r="G139" s="9" t="n">
        <x:v>0</x:v>
      </x:c>
      <x:c r="H139" s="9" t="n">
        <x:v>4.21</x:v>
      </x:c>
      <x:c r="I139" s="9" t="n">
        <x:v>0.4285714286</x:v>
      </x:c>
      <x:c r="J139" s="9" t="n">
        <x:v>9.8333333333</x:v>
      </x:c>
      <x:c r="K139" s="9" t="n">
        <x:f>ROUND(SUM(C139:J139),2)</x:f>
        <x:v>51.4</x:v>
      </x:c>
      <x:c r="L139" s="1" t="str">
        <x:f>IF(K139&gt;=70,"High",IF(K139&gt;=45,"Medium","Low"))</x:f>
        <x:v>Medium</x:v>
      </x:c>
      <x:c r="M139" s="1"/>
      <x:c r="N139" s="1"/>
      <x:c r="O139" s="1"/>
      <x:c r="P139" s="1"/>
      <x:c r="Q139" s="1"/>
    </x:row>
    <x:row r="140" ht="22" customHeight="1">
      <x:c r="A140" s="1" t="str">
        <x:v>O0231</x:v>
      </x:c>
      <x:c r="B140" s="1" t="str">
        <x:v>Simulated Ahmedabad Management Institute 231</x:v>
      </x:c>
      <x:c r="C140" s="9" t="n">
        <x:v>5.828</x:v>
      </x:c>
      <x:c r="D140" s="9" t="n">
        <x:v>8</x:v>
      </x:c>
      <x:c r="E140" s="9" t="n">
        <x:v>6.25</x:v>
      </x:c>
      <x:c r="F140" s="9" t="n">
        <x:v>7</x:v>
      </x:c>
      <x:c r="G140" s="9" t="n">
        <x:v>9</x:v>
      </x:c>
      <x:c r="H140" s="9" t="n">
        <x:v>3.83</x:v>
      </x:c>
      <x:c r="I140" s="9" t="n">
        <x:v>1.4285714286</x:v>
      </x:c>
      <x:c r="J140" s="9" t="n">
        <x:v>10</x:v>
      </x:c>
      <x:c r="K140" s="9" t="n">
        <x:f>ROUND(SUM(C140:J140),2)</x:f>
        <x:v>51.34</x:v>
      </x:c>
      <x:c r="L140" s="1" t="str">
        <x:f>IF(K140&gt;=70,"High",IF(K140&gt;=45,"Medium","Low"))</x:f>
        <x:v>Medium</x:v>
      </x:c>
      <x:c r="M140" s="1"/>
      <x:c r="N140" s="1"/>
      <x:c r="O140" s="1"/>
      <x:c r="P140" s="1"/>
      <x:c r="Q140" s="1"/>
    </x:row>
    <x:row r="141" ht="22" customHeight="1">
      <x:c r="A141" s="1" t="str">
        <x:v>O0436</x:v>
      </x:c>
      <x:c r="B141" s="1" t="str">
        <x:v>Simulated New Delhi Management Institute 436</x:v>
      </x:c>
      <x:c r="C141" s="9" t="n">
        <x:v>5.516</x:v>
      </x:c>
      <x:c r="D141" s="9" t="n">
        <x:v>8.5</x:v>
      </x:c>
      <x:c r="E141" s="9" t="n">
        <x:v>5</x:v>
      </x:c>
      <x:c r="F141" s="9" t="n">
        <x:v>7</x:v>
      </x:c>
      <x:c r="G141" s="9" t="n">
        <x:v>11.25</x:v>
      </x:c>
      <x:c r="H141" s="9" t="n">
        <x:v>2.55</x:v>
      </x:c>
      <x:c r="I141" s="9" t="n">
        <x:v>1.4285714286</x:v>
      </x:c>
      <x:c r="J141" s="9" t="n">
        <x:v>10</x:v>
      </x:c>
      <x:c r="K141" s="9" t="n">
        <x:f>ROUND(SUM(C141:J141),2)</x:f>
        <x:v>51.24</x:v>
      </x:c>
      <x:c r="L141" s="1" t="str">
        <x:f>IF(K141&gt;=70,"High",IF(K141&gt;=45,"Medium","Low"))</x:f>
        <x:v>Medium</x:v>
      </x:c>
      <x:c r="M141" s="1"/>
      <x:c r="N141" s="1"/>
      <x:c r="O141" s="1"/>
      <x:c r="P141" s="1"/>
      <x:c r="Q141" s="1"/>
    </x:row>
    <x:row r="142" ht="22" customHeight="1">
      <x:c r="A142" s="1" t="str">
        <x:v>O0337</x:v>
      </x:c>
      <x:c r="B142" s="1" t="str">
        <x:v>Simulated Jaipur Engineering College 337</x:v>
      </x:c>
      <x:c r="C142" s="9" t="n">
        <x:v>3.812</x:v>
      </x:c>
      <x:c r="D142" s="9" t="n">
        <x:v>8</x:v>
      </x:c>
      <x:c r="E142" s="9" t="n">
        <x:v>11.25</x:v>
      </x:c>
      <x:c r="F142" s="9" t="n">
        <x:v>7</x:v>
      </x:c>
      <x:c r="G142" s="9" t="n">
        <x:v>6.6666666667</x:v>
      </x:c>
      <x:c r="H142" s="9" t="n">
        <x:v>2.87</x:v>
      </x:c>
      <x:c r="I142" s="9" t="n">
        <x:v>7.1428571429</x:v>
      </x:c>
      <x:c r="J142" s="9" t="n">
        <x:v>4.3333333333</x:v>
      </x:c>
      <x:c r="K142" s="9" t="n">
        <x:f>ROUND(SUM(C142:J142),2)</x:f>
        <x:v>51.07</x:v>
      </x:c>
      <x:c r="L142" s="1" t="str">
        <x:f>IF(K142&gt;=70,"High",IF(K142&gt;=45,"Medium","Low"))</x:f>
        <x:v>Medium</x:v>
      </x:c>
      <x:c r="M142" s="1"/>
      <x:c r="N142" s="1"/>
      <x:c r="O142" s="1"/>
      <x:c r="P142" s="1"/>
      <x:c r="Q142" s="1"/>
    </x:row>
    <x:row r="143" ht="22" customHeight="1">
      <x:c r="A143" s="1" t="str">
        <x:v>O0179</x:v>
      </x:c>
      <x:c r="B143" s="1" t="str">
        <x:v>Simulated Guwahati Arts and Science College 179</x:v>
      </x:c>
      <x:c r="C143" s="9" t="n">
        <x:v>4.438</x:v>
      </x:c>
      <x:c r="D143" s="9" t="n">
        <x:v>5.5</x:v>
      </x:c>
      <x:c r="E143" s="9" t="n">
        <x:v>12.5</x:v>
      </x:c>
      <x:c r="F143" s="9" t="n">
        <x:v>7</x:v>
      </x:c>
      <x:c r="G143" s="9" t="n">
        <x:v>7.5</x:v>
      </x:c>
      <x:c r="H143" s="9" t="n">
        <x:v>3.11</x:v>
      </x:c>
      <x:c r="I143" s="9" t="n">
        <x:v>7.1428571429</x:v>
      </x:c>
      <x:c r="J143" s="9" t="n">
        <x:v>3.8333333333</x:v>
      </x:c>
      <x:c r="K143" s="9" t="n">
        <x:f>ROUND(SUM(C143:J143),2)</x:f>
        <x:v>51.02</x:v>
      </x:c>
      <x:c r="L143" s="1" t="str">
        <x:f>IF(K143&gt;=70,"High",IF(K143&gt;=45,"Medium","Low"))</x:f>
        <x:v>Medium</x:v>
      </x:c>
      <x:c r="M143" s="1"/>
      <x:c r="N143" s="1"/>
      <x:c r="O143" s="1"/>
      <x:c r="P143" s="1"/>
      <x:c r="Q143" s="1"/>
    </x:row>
    <x:row r="144" ht="22" customHeight="1">
      <x:c r="A144" s="1" t="str">
        <x:v>O0555</x:v>
      </x:c>
      <x:c r="B144" s="1" t="str">
        <x:v>Simulated Indore Management Institute 555</x:v>
      </x:c>
      <x:c r="C144" s="9" t="n">
        <x:v>5.826</x:v>
      </x:c>
      <x:c r="D144" s="9" t="n">
        <x:v>6.5</x:v>
      </x:c>
      <x:c r="E144" s="9" t="n">
        <x:v>6.25</x:v>
      </x:c>
      <x:c r="F144" s="9" t="n">
        <x:v>7</x:v>
      </x:c>
      <x:c r="G144" s="9" t="n">
        <x:v>12</x:v>
      </x:c>
      <x:c r="H144" s="9" t="n">
        <x:v>3.98</x:v>
      </x:c>
      <x:c r="I144" s="9" t="n">
        <x:v>0.4285714286</x:v>
      </x:c>
      <x:c r="J144" s="9" t="n">
        <x:v>9</x:v>
      </x:c>
      <x:c r="K144" s="9" t="n">
        <x:f>ROUND(SUM(C144:J144),2)</x:f>
        <x:v>50.98</x:v>
      </x:c>
      <x:c r="L144" s="1" t="str">
        <x:f>IF(K144&gt;=70,"High",IF(K144&gt;=45,"Medium","Low"))</x:f>
        <x:v>Medium</x:v>
      </x:c>
      <x:c r="M144" s="1"/>
      <x:c r="N144" s="1"/>
      <x:c r="O144" s="1"/>
      <x:c r="P144" s="1"/>
      <x:c r="Q144" s="1"/>
    </x:row>
    <x:row r="145" ht="22" customHeight="1">
      <x:c r="A145" s="1" t="str">
        <x:v>O0193</x:v>
      </x:c>
      <x:c r="B145" s="1" t="str">
        <x:v>Simulated Patna Arts and Science College 193</x:v>
      </x:c>
      <x:c r="C145" s="9" t="n">
        <x:v>2.668</x:v>
      </x:c>
      <x:c r="D145" s="9" t="n">
        <x:v>6.5</x:v>
      </x:c>
      <x:c r="E145" s="9" t="n">
        <x:v>13.75</x:v>
      </x:c>
      <x:c r="F145" s="9" t="n">
        <x:v>7</x:v>
      </x:c>
      <x:c r="G145" s="9" t="n">
        <x:v>6.8181818182</x:v>
      </x:c>
      <x:c r="H145" s="9" t="n">
        <x:v>1.87</x:v>
      </x:c>
      <x:c r="I145" s="9" t="n">
        <x:v>4.2857142857</x:v>
      </x:c>
      <x:c r="J145" s="9" t="n">
        <x:v>8</x:v>
      </x:c>
      <x:c r="K145" s="9" t="n">
        <x:f>ROUND(SUM(C145:J145),2)</x:f>
        <x:v>50.89</x:v>
      </x:c>
      <x:c r="L145" s="1" t="str">
        <x:f>IF(K145&gt;=70,"High",IF(K145&gt;=45,"Medium","Low"))</x:f>
        <x:v>Medium</x:v>
      </x:c>
      <x:c r="M145" s="1"/>
      <x:c r="N145" s="1"/>
      <x:c r="O145" s="1"/>
      <x:c r="P145" s="1"/>
      <x:c r="Q145" s="1"/>
    </x:row>
    <x:row r="146" ht="22" customHeight="1">
      <x:c r="A146" s="1" t="str">
        <x:v>O0148</x:v>
      </x:c>
      <x:c r="B146" s="1" t="str">
        <x:v>Simulated Patna Arts and Science College 148</x:v>
      </x:c>
      <x:c r="C146" s="9" t="n">
        <x:v>5.436</x:v>
      </x:c>
      <x:c r="D146" s="9" t="n">
        <x:v>6.5</x:v>
      </x:c>
      <x:c r="E146" s="9" t="n">
        <x:v>11.25</x:v>
      </x:c>
      <x:c r="F146" s="9" t="n">
        <x:v>7</x:v>
      </x:c>
      <x:c r="G146" s="9" t="n">
        <x:v>8.3333333333</x:v>
      </x:c>
      <x:c r="H146" s="9" t="n">
        <x:v>4.59</x:v>
      </x:c>
      <x:c r="I146" s="9" t="n">
        <x:v>2.5714285714</x:v>
      </x:c>
      <x:c r="J146" s="9" t="n">
        <x:v>5.1666666667</x:v>
      </x:c>
      <x:c r="K146" s="9" t="n">
        <x:f>ROUND(SUM(C146:J146),2)</x:f>
        <x:v>50.85</x:v>
      </x:c>
      <x:c r="L146" s="1" t="str">
        <x:f>IF(K146&gt;=70,"High",IF(K146&gt;=45,"Medium","Low"))</x:f>
        <x:v>Medium</x:v>
      </x:c>
      <x:c r="M146" s="1"/>
      <x:c r="N146" s="1"/>
      <x:c r="O146" s="1"/>
      <x:c r="P146" s="1"/>
      <x:c r="Q146" s="1"/>
    </x:row>
    <x:row r="147" ht="22" customHeight="1">
      <x:c r="A147" s="1" t="str">
        <x:v>O0134</x:v>
      </x:c>
      <x:c r="B147" s="1" t="str">
        <x:v>Simulated Guwahati Management Institute 134</x:v>
      </x:c>
      <x:c r="C147" s="9" t="n">
        <x:v>4.11</x:v>
      </x:c>
      <x:c r="D147" s="9" t="n">
        <x:v>5.5</x:v>
      </x:c>
      <x:c r="E147" s="9" t="n">
        <x:v>8.75</x:v>
      </x:c>
      <x:c r="F147" s="9" t="n">
        <x:v>7</x:v>
      </x:c>
      <x:c r="G147" s="9" t="n">
        <x:v>12.8571428571</x:v>
      </x:c>
      <x:c r="H147" s="9" t="n">
        <x:v>3.03</x:v>
      </x:c>
      <x:c r="I147" s="9" t="n">
        <x:v>0.4285714286</x:v>
      </x:c>
      <x:c r="J147" s="9" t="n">
        <x:v>9.1666666667</x:v>
      </x:c>
      <x:c r="K147" s="9" t="n">
        <x:f>ROUND(SUM(C147:J147),2)</x:f>
        <x:v>50.84</x:v>
      </x:c>
      <x:c r="L147" s="1" t="str">
        <x:f>IF(K147&gt;=70,"High",IF(K147&gt;=45,"Medium","Low"))</x:f>
        <x:v>Medium</x:v>
      </x:c>
      <x:c r="M147" s="1"/>
      <x:c r="N147" s="1"/>
      <x:c r="O147" s="1"/>
      <x:c r="P147" s="1"/>
      <x:c r="Q147" s="1"/>
    </x:row>
    <x:row r="148" ht="22" customHeight="1">
      <x:c r="A148" s="1" t="str">
        <x:v>O0118</x:v>
      </x:c>
      <x:c r="B148" s="1" t="str">
        <x:v>Simulated Patna Arts and Science College 118</x:v>
      </x:c>
      <x:c r="C148" s="9" t="n">
        <x:v>4.02</x:v>
      </x:c>
      <x:c r="D148" s="9" t="n">
        <x:v>6.5</x:v>
      </x:c>
      <x:c r="E148" s="9" t="n">
        <x:v>12.5</x:v>
      </x:c>
      <x:c r="F148" s="9" t="n">
        <x:v>7</x:v>
      </x:c>
      <x:c r="G148" s="9" t="n">
        <x:v>7.5</x:v>
      </x:c>
      <x:c r="H148" s="9" t="n">
        <x:v>3.38</x:v>
      </x:c>
      <x:c r="I148" s="9" t="n">
        <x:v>0.4285714286</x:v>
      </x:c>
      <x:c r="J148" s="9" t="n">
        <x:v>9.5</x:v>
      </x:c>
      <x:c r="K148" s="9" t="n">
        <x:f>ROUND(SUM(C148:J148),2)</x:f>
        <x:v>50.83</x:v>
      </x:c>
      <x:c r="L148" s="1" t="str">
        <x:f>IF(K148&gt;=70,"High",IF(K148&gt;=45,"Medium","Low"))</x:f>
        <x:v>Medium</x:v>
      </x:c>
      <x:c r="M148" s="1"/>
      <x:c r="N148" s="1"/>
      <x:c r="O148" s="1"/>
      <x:c r="P148" s="1"/>
      <x:c r="Q148" s="1"/>
    </x:row>
    <x:row r="149" ht="22" customHeight="1">
      <x:c r="A149" s="1" t="str">
        <x:v>O0250</x:v>
      </x:c>
      <x:c r="B149" s="1" t="str">
        <x:v>Simulated Hyderabad Management Institute 250</x:v>
      </x:c>
      <x:c r="C149" s="9" t="n">
        <x:v>3.389</x:v>
      </x:c>
      <x:c r="D149" s="9" t="n">
        <x:v>9</x:v>
      </x:c>
      <x:c r="E149" s="9" t="n">
        <x:v>11.25</x:v>
      </x:c>
      <x:c r="F149" s="9" t="n">
        <x:v>7</x:v>
      </x:c>
      <x:c r="G149" s="9" t="n">
        <x:v>8.3333333333</x:v>
      </x:c>
      <x:c r="H149" s="9" t="n">
        <x:v>2.03</x:v>
      </x:c>
      <x:c r="I149" s="9" t="n">
        <x:v>2.5714285714</x:v>
      </x:c>
      <x:c r="J149" s="9" t="n">
        <x:v>7.1666666667</x:v>
      </x:c>
      <x:c r="K149" s="9" t="n">
        <x:f>ROUND(SUM(C149:J149),2)</x:f>
        <x:v>50.74</x:v>
      </x:c>
      <x:c r="L149" s="1" t="str">
        <x:f>IF(K149&gt;=70,"High",IF(K149&gt;=45,"Medium","Low"))</x:f>
        <x:v>Medium</x:v>
      </x:c>
      <x:c r="M149" s="1"/>
      <x:c r="N149" s="1"/>
      <x:c r="O149" s="1"/>
      <x:c r="P149" s="1"/>
      <x:c r="Q149" s="1"/>
    </x:row>
    <x:row r="150" ht="22" customHeight="1">
      <x:c r="A150" s="1" t="str">
        <x:v>O0523</x:v>
      </x:c>
      <x:c r="B150" s="1" t="str">
        <x:v>Simulated Patna Management Institute 523</x:v>
      </x:c>
      <x:c r="C150" s="9" t="n">
        <x:v>2.449</x:v>
      </x:c>
      <x:c r="D150" s="9" t="n">
        <x:v>6.5</x:v>
      </x:c>
      <x:c r="E150" s="9" t="n">
        <x:v>12.5</x:v>
      </x:c>
      <x:c r="F150" s="9" t="n">
        <x:v>7</x:v>
      </x:c>
      <x:c r="G150" s="9" t="n">
        <x:v>7.5</x:v>
      </x:c>
      <x:c r="H150" s="9" t="n">
        <x:v>1.34</x:v>
      </x:c>
      <x:c r="I150" s="9" t="n">
        <x:v>4.2857142857</x:v>
      </x:c>
      <x:c r="J150" s="9" t="n">
        <x:v>9.1666666667</x:v>
      </x:c>
      <x:c r="K150" s="9" t="n">
        <x:f>ROUND(SUM(C150:J150),2)</x:f>
        <x:v>50.74</x:v>
      </x:c>
      <x:c r="L150" s="1" t="str">
        <x:f>IF(K150&gt;=70,"High",IF(K150&gt;=45,"Medium","Low"))</x:f>
        <x:v>Medium</x:v>
      </x:c>
      <x:c r="M150" s="1"/>
      <x:c r="N150" s="1"/>
      <x:c r="O150" s="1"/>
      <x:c r="P150" s="1"/>
      <x:c r="Q150" s="1"/>
    </x:row>
    <x:row r="151" ht="22" customHeight="1">
      <x:c r="A151" s="1" t="str">
        <x:v>O0151</x:v>
      </x:c>
      <x:c r="B151" s="1" t="str">
        <x:v>Simulated New Delhi University 151</x:v>
      </x:c>
      <x:c r="C151" s="9" t="n">
        <x:v>7.876</x:v>
      </x:c>
      <x:c r="D151" s="9" t="n">
        <x:v>8.5</x:v>
      </x:c>
      <x:c r="E151" s="9" t="n">
        <x:v>6.25</x:v>
      </x:c>
      <x:c r="F151" s="9" t="n">
        <x:v>10</x:v>
      </x:c>
      <x:c r="G151" s="9" t="n">
        <x:v>9</x:v>
      </x:c>
      <x:c r="H151" s="9" t="n">
        <x:v>2.49</x:v>
      </x:c>
      <x:c r="I151" s="9" t="n">
        <x:v>0.4285714286</x:v>
      </x:c>
      <x:c r="J151" s="9" t="n">
        <x:v>6.1666666667</x:v>
      </x:c>
      <x:c r="K151" s="9" t="n">
        <x:f>ROUND(SUM(C151:J151),2)</x:f>
        <x:v>50.71</x:v>
      </x:c>
      <x:c r="L151" s="1" t="str">
        <x:f>IF(K151&gt;=70,"High",IF(K151&gt;=45,"Medium","Low"))</x:f>
        <x:v>Medium</x:v>
      </x:c>
      <x:c r="M151" s="1"/>
      <x:c r="N151" s="1"/>
      <x:c r="O151" s="1"/>
      <x:c r="P151" s="1"/>
      <x:c r="Q151" s="1"/>
    </x:row>
    <x:row r="152" ht="22" customHeight="1">
      <x:c r="A152" s="1" t="str">
        <x:v>O0241</x:v>
      </x:c>
      <x:c r="B152" s="1" t="str">
        <x:v>Simulated New Delhi University 241</x:v>
      </x:c>
      <x:c r="C152" s="9" t="n">
        <x:v>12.044</x:v>
      </x:c>
      <x:c r="D152" s="9" t="n">
        <x:v>8.5</x:v>
      </x:c>
      <x:c r="E152" s="9" t="n">
        <x:v>3.75</x:v>
      </x:c>
      <x:c r="F152" s="9" t="n">
        <x:v>10</x:v>
      </x:c>
      <x:c r="G152" s="9" t="n">
        <x:v>5</x:v>
      </x:c>
      <x:c r="H152" s="9" t="n">
        <x:v>4.11</x:v>
      </x:c>
      <x:c r="I152" s="9" t="n">
        <x:v>4.2857142857</x:v>
      </x:c>
      <x:c r="J152" s="9" t="n">
        <x:v>3</x:v>
      </x:c>
      <x:c r="K152" s="9" t="n">
        <x:f>ROUND(SUM(C152:J152),2)</x:f>
        <x:v>50.69</x:v>
      </x:c>
      <x:c r="L152" s="1" t="str">
        <x:f>IF(K152&gt;=70,"High",IF(K152&gt;=45,"Medium","Low"))</x:f>
        <x:v>Medium</x:v>
      </x:c>
      <x:c r="M152" s="1"/>
      <x:c r="N152" s="1"/>
      <x:c r="O152" s="1"/>
      <x:c r="P152" s="1"/>
      <x:c r="Q152" s="1"/>
    </x:row>
    <x:row r="153" ht="22" customHeight="1">
      <x:c r="A153" s="1" t="str">
        <x:v>O0547</x:v>
      </x:c>
      <x:c r="B153" s="1" t="str">
        <x:v>Simulated Jaipur Engineering College 547</x:v>
      </x:c>
      <x:c r="C153" s="9" t="n">
        <x:v>3.485</x:v>
      </x:c>
      <x:c r="D153" s="9" t="n">
        <x:v>8</x:v>
      </x:c>
      <x:c r="E153" s="9" t="n">
        <x:v>3.75</x:v>
      </x:c>
      <x:c r="F153" s="9" t="n">
        <x:v>7</x:v>
      </x:c>
      <x:c r="G153" s="9" t="n">
        <x:v>15</x:v>
      </x:c>
      <x:c r="H153" s="9" t="n">
        <x:v>2.86</x:v>
      </x:c>
      <x:c r="I153" s="9" t="n">
        <x:v>0.4285714286</x:v>
      </x:c>
      <x:c r="J153" s="9" t="n">
        <x:v>10</x:v>
      </x:c>
      <x:c r="K153" s="9" t="n">
        <x:f>ROUND(SUM(C153:J153),2)</x:f>
        <x:v>50.52</x:v>
      </x:c>
      <x:c r="L153" s="1" t="str">
        <x:f>IF(K153&gt;=70,"High",IF(K153&gt;=45,"Medium","Low"))</x:f>
        <x:v>Medium</x:v>
      </x:c>
      <x:c r="M153" s="1"/>
      <x:c r="N153" s="1"/>
      <x:c r="O153" s="1"/>
      <x:c r="P153" s="1"/>
      <x:c r="Q153" s="1"/>
    </x:row>
    <x:row r="154" ht="22" customHeight="1">
      <x:c r="A154" s="1" t="str">
        <x:v>O0511</x:v>
      </x:c>
      <x:c r="B154" s="1" t="str">
        <x:v>Simulated New Delhi Engineering College 511</x:v>
      </x:c>
      <x:c r="C154" s="9" t="n">
        <x:v>4.644</x:v>
      </x:c>
      <x:c r="D154" s="9" t="n">
        <x:v>8.5</x:v>
      </x:c>
      <x:c r="E154" s="9" t="n">
        <x:v>11.25</x:v>
      </x:c>
      <x:c r="F154" s="9" t="n">
        <x:v>7</x:v>
      </x:c>
      <x:c r="G154" s="9" t="n">
        <x:v>6.6666666667</x:v>
      </x:c>
      <x:c r="H154" s="9" t="n">
        <x:v>1.89</x:v>
      </x:c>
      <x:c r="I154" s="9" t="n">
        <x:v>0.4285714286</x:v>
      </x:c>
      <x:c r="J154" s="9" t="n">
        <x:v>10</x:v>
      </x:c>
      <x:c r="K154" s="9" t="n">
        <x:f>ROUND(SUM(C154:J154),2)</x:f>
        <x:v>50.38</x:v>
      </x:c>
      <x:c r="L154" s="1" t="str">
        <x:f>IF(K154&gt;=70,"High",IF(K154&gt;=45,"Medium","Low"))</x:f>
        <x:v>Medium</x:v>
      </x:c>
      <x:c r="M154" s="1"/>
      <x:c r="N154" s="1"/>
      <x:c r="O154" s="1"/>
      <x:c r="P154" s="1"/>
      <x:c r="Q154" s="1"/>
    </x:row>
    <x:row r="155" ht="22" customHeight="1">
      <x:c r="A155" s="1" t="str">
        <x:v>O0391</x:v>
      </x:c>
      <x:c r="B155" s="1" t="str">
        <x:v>Simulated New Delhi University 391</x:v>
      </x:c>
      <x:c r="C155" s="9" t="n">
        <x:v>11.651</x:v>
      </x:c>
      <x:c r="D155" s="9" t="n">
        <x:v>8.5</x:v>
      </x:c>
      <x:c r="E155" s="9" t="n">
        <x:v>6.25</x:v>
      </x:c>
      <x:c r="F155" s="9" t="n">
        <x:v>10</x:v>
      </x:c>
      <x:c r="G155" s="9" t="n">
        <x:v>6</x:v>
      </x:c>
      <x:c r="H155" s="9" t="n">
        <x:v>7.41</x:v>
      </x:c>
      <x:c r="I155" s="9" t="n">
        <x:v>0.4285714286</x:v>
      </x:c>
      <x:c r="J155" s="9" t="n">
        <x:v>0</x:v>
      </x:c>
      <x:c r="K155" s="9" t="n">
        <x:f>ROUND(SUM(C155:J155),2)</x:f>
        <x:v>50.24</x:v>
      </x:c>
      <x:c r="L155" s="1" t="str">
        <x:f>IF(K155&gt;=70,"High",IF(K155&gt;=45,"Medium","Low"))</x:f>
        <x:v>Medium</x:v>
      </x:c>
      <x:c r="M155" s="1"/>
      <x:c r="N155" s="1"/>
      <x:c r="O155" s="1"/>
      <x:c r="P155" s="1"/>
      <x:c r="Q155" s="1"/>
    </x:row>
    <x:row r="156" ht="22" customHeight="1">
      <x:c r="A156" s="1" t="str">
        <x:v>O0056</x:v>
      </x:c>
      <x:c r="B156" s="1" t="str">
        <x:v>Simulated Kolkata Management Institute 056</x:v>
      </x:c>
      <x:c r="C156" s="9" t="n">
        <x:v>3.584</x:v>
      </x:c>
      <x:c r="D156" s="9" t="n">
        <x:v>6.5</x:v>
      </x:c>
      <x:c r="E156" s="9" t="n">
        <x:v>11.25</x:v>
      </x:c>
      <x:c r="F156" s="9" t="n">
        <x:v>7</x:v>
      </x:c>
      <x:c r="G156" s="9" t="n">
        <x:v>10</x:v>
      </x:c>
      <x:c r="H156" s="9" t="n">
        <x:v>1.95</x:v>
      </x:c>
      <x:c r="I156" s="9" t="n">
        <x:v>1.4285714286</x:v>
      </x:c>
      <x:c r="J156" s="9" t="n">
        <x:v>8.5</x:v>
      </x:c>
      <x:c r="K156" s="9" t="n">
        <x:f>ROUND(SUM(C156:J156),2)</x:f>
        <x:v>50.21</x:v>
      </x:c>
      <x:c r="L156" s="1" t="str">
        <x:f>IF(K156&gt;=70,"High",IF(K156&gt;=45,"Medium","Low"))</x:f>
        <x:v>Medium</x:v>
      </x:c>
      <x:c r="M156" s="1"/>
      <x:c r="N156" s="1"/>
      <x:c r="O156" s="1"/>
      <x:c r="P156" s="1"/>
      <x:c r="Q156" s="1"/>
    </x:row>
    <x:row r="157" ht="22" customHeight="1">
      <x:c r="A157" s="1" t="str">
        <x:v>O0124</x:v>
      </x:c>
      <x:c r="B157" s="1" t="str">
        <x:v>Simulated Ludhiana Engineering College 124</x:v>
      </x:c>
      <x:c r="C157" s="9" t="n">
        <x:v>1.16</x:v>
      </x:c>
      <x:c r="D157" s="9" t="n">
        <x:v>8.5</x:v>
      </x:c>
      <x:c r="E157" s="9" t="n">
        <x:v>15</x:v>
      </x:c>
      <x:c r="F157" s="9" t="n">
        <x:v>4</x:v>
      </x:c>
      <x:c r="G157" s="9" t="n">
        <x:v>8.75</x:v>
      </x:c>
      <x:c r="H157" s="9" t="n">
        <x:v>1.48</x:v>
      </x:c>
      <x:c r="I157" s="9" t="n">
        <x:v>4.2857142857</x:v>
      </x:c>
      <x:c r="J157" s="9" t="n">
        <x:v>7</x:v>
      </x:c>
      <x:c r="K157" s="9" t="n">
        <x:f>ROUND(SUM(C157:J157),2)</x:f>
        <x:v>50.18</x:v>
      </x:c>
      <x:c r="L157" s="1" t="str">
        <x:f>IF(K157&gt;=70,"High",IF(K157&gt;=45,"Medium","Low"))</x:f>
        <x:v>Medium</x:v>
      </x:c>
      <x:c r="M157" s="1"/>
      <x:c r="N157" s="1"/>
      <x:c r="O157" s="1"/>
      <x:c r="P157" s="1"/>
      <x:c r="Q157" s="1"/>
    </x:row>
    <x:row r="158" ht="22" customHeight="1">
      <x:c r="A158" s="1" t="str">
        <x:v>O0239</x:v>
      </x:c>
      <x:c r="B158" s="1" t="str">
        <x:v>Simulated Guwahati University 239</x:v>
      </x:c>
      <x:c r="C158" s="9" t="n">
        <x:v>6.644</x:v>
      </x:c>
      <x:c r="D158" s="9" t="n">
        <x:v>5.5</x:v>
      </x:c>
      <x:c r="E158" s="9" t="n">
        <x:v>12.5</x:v>
      </x:c>
      <x:c r="F158" s="9" t="n">
        <x:v>7</x:v>
      </x:c>
      <x:c r="G158" s="9" t="n">
        <x:v>4.5</x:v>
      </x:c>
      <x:c r="H158" s="9" t="n">
        <x:v>3.93</x:v>
      </x:c>
      <x:c r="I158" s="9" t="n">
        <x:v>0.4285714286</x:v>
      </x:c>
      <x:c r="J158" s="9" t="n">
        <x:v>9.6666666667</x:v>
      </x:c>
      <x:c r="K158" s="9" t="n">
        <x:f>ROUND(SUM(C158:J158),2)</x:f>
        <x:v>50.17</x:v>
      </x:c>
      <x:c r="L158" s="1" t="str">
        <x:f>IF(K158&gt;=70,"High",IF(K158&gt;=45,"Medium","Low"))</x:f>
        <x:v>Medium</x:v>
      </x:c>
      <x:c r="M158" s="1"/>
      <x:c r="N158" s="1"/>
      <x:c r="O158" s="1"/>
      <x:c r="P158" s="1"/>
      <x:c r="Q158" s="1"/>
    </x:row>
    <x:row r="159" ht="22" customHeight="1">
      <x:c r="A159" s="1" t="str">
        <x:v>O0334</x:v>
      </x:c>
      <x:c r="B159" s="1" t="str">
        <x:v>Simulated Ludhiana University 334</x:v>
      </x:c>
      <x:c r="C159" s="9" t="n">
        <x:v>5.596</x:v>
      </x:c>
      <x:c r="D159" s="9" t="n">
        <x:v>8.5</x:v>
      </x:c>
      <x:c r="E159" s="9" t="n">
        <x:v>7.5</x:v>
      </x:c>
      <x:c r="F159" s="9" t="n">
        <x:v>7</x:v>
      </x:c>
      <x:c r="G159" s="9" t="n">
        <x:v>2.5</x:v>
      </x:c>
      <x:c r="H159" s="9" t="n">
        <x:v>2.24</x:v>
      </x:c>
      <x:c r="I159" s="9" t="n">
        <x:v>10</x:v>
      </x:c>
      <x:c r="J159" s="9" t="n">
        <x:v>6.5</x:v>
      </x:c>
      <x:c r="K159" s="9" t="n">
        <x:f>ROUND(SUM(C159:J159),2)</x:f>
        <x:v>49.84</x:v>
      </x:c>
      <x:c r="L159" s="1" t="str">
        <x:f>IF(K159&gt;=70,"High",IF(K159&gt;=45,"Medium","Low"))</x:f>
        <x:v>Medium</x:v>
      </x:c>
      <x:c r="M159" s="1"/>
      <x:c r="N159" s="1"/>
      <x:c r="O159" s="1"/>
      <x:c r="P159" s="1"/>
      <x:c r="Q159" s="1"/>
    </x:row>
    <x:row r="160" ht="22" customHeight="1">
      <x:c r="A160" s="1" t="str">
        <x:v>O0363</x:v>
      </x:c>
      <x:c r="B160" s="1" t="str">
        <x:v>Simulated Gurugram Arts and Science College 363</x:v>
      </x:c>
      <x:c r="C160" s="9" t="n">
        <x:v>5.779</x:v>
      </x:c>
      <x:c r="D160" s="9" t="n">
        <x:v>8.5</x:v>
      </x:c>
      <x:c r="E160" s="9" t="n">
        <x:v>3.75</x:v>
      </x:c>
      <x:c r="F160" s="9" t="n">
        <x:v>7</x:v>
      </x:c>
      <x:c r="G160" s="9" t="n">
        <x:v>10</x:v>
      </x:c>
      <x:c r="H160" s="9" t="n">
        <x:v>3.55</x:v>
      </x:c>
      <x:c r="I160" s="9" t="n">
        <x:v>1.4285714286</x:v>
      </x:c>
      <x:c r="J160" s="9" t="n">
        <x:v>9.8333333333</x:v>
      </x:c>
      <x:c r="K160" s="9" t="n">
        <x:f>ROUND(SUM(C160:J160),2)</x:f>
        <x:v>49.84</x:v>
      </x:c>
      <x:c r="L160" s="1" t="str">
        <x:f>IF(K160&gt;=70,"High",IF(K160&gt;=45,"Medium","Low"))</x:f>
        <x:v>Medium</x:v>
      </x:c>
      <x:c r="M160" s="1"/>
      <x:c r="N160" s="1"/>
      <x:c r="O160" s="1"/>
      <x:c r="P160" s="1"/>
      <x:c r="Q160" s="1"/>
    </x:row>
    <x:row r="161" ht="22" customHeight="1">
      <x:c r="A161" s="1" t="str">
        <x:v>O0487</x:v>
      </x:c>
      <x:c r="B161" s="1" t="str">
        <x:v>Simulated Jaipur Arts and Science College 487</x:v>
      </x:c>
      <x:c r="C161" s="9" t="n">
        <x:v>4.297</x:v>
      </x:c>
      <x:c r="D161" s="9" t="n">
        <x:v>8</x:v>
      </x:c>
      <x:c r="E161" s="9" t="n">
        <x:v>10</x:v>
      </x:c>
      <x:c r="F161" s="9" t="n">
        <x:v>7</x:v>
      </x:c>
      <x:c r="G161" s="9" t="n">
        <x:v>9.375</x:v>
      </x:c>
      <x:c r="H161" s="9" t="n">
        <x:v>2.2</x:v>
      </x:c>
      <x:c r="I161" s="9" t="n">
        <x:v>0.4285714286</x:v>
      </x:c>
      <x:c r="J161" s="9" t="n">
        <x:v>8.5</x:v>
      </x:c>
      <x:c r="K161" s="9" t="n">
        <x:f>ROUND(SUM(C161:J161),2)</x:f>
        <x:v>49.8</x:v>
      </x:c>
      <x:c r="L161" s="1" t="str">
        <x:f>IF(K161&gt;=70,"High",IF(K161&gt;=45,"Medium","Low"))</x:f>
        <x:v>Medium</x:v>
      </x:c>
      <x:c r="M161" s="1"/>
      <x:c r="N161" s="1"/>
      <x:c r="O161" s="1"/>
      <x:c r="P161" s="1"/>
      <x:c r="Q161" s="1"/>
    </x:row>
    <x:row r="162" ht="22" customHeight="1">
      <x:c r="A162" s="1" t="str">
        <x:v>O0224</x:v>
      </x:c>
      <x:c r="B162" s="1" t="str">
        <x:v>Simulated Guwahati Management Institute 224</x:v>
      </x:c>
      <x:c r="C162" s="9" t="n">
        <x:v>3.596</x:v>
      </x:c>
      <x:c r="D162" s="9" t="n">
        <x:v>5.5</x:v>
      </x:c>
      <x:c r="E162" s="9" t="n">
        <x:v>15</x:v>
      </x:c>
      <x:c r="F162" s="9" t="n">
        <x:v>7</x:v>
      </x:c>
      <x:c r="G162" s="9" t="n">
        <x:v>6.25</x:v>
      </x:c>
      <x:c r="H162" s="9" t="n">
        <x:v>2.54</x:v>
      </x:c>
      <x:c r="I162" s="9" t="n">
        <x:v>2.5714285714</x:v>
      </x:c>
      <x:c r="J162" s="9" t="n">
        <x:v>7.1666666667</x:v>
      </x:c>
      <x:c r="K162" s="9" t="n">
        <x:f>ROUND(SUM(C162:J162),2)</x:f>
        <x:v>49.62</x:v>
      </x:c>
      <x:c r="L162" s="1" t="str">
        <x:f>IF(K162&gt;=70,"High",IF(K162&gt;=45,"Medium","Low"))</x:f>
        <x:v>Medium</x:v>
      </x:c>
      <x:c r="M162" s="1"/>
      <x:c r="N162" s="1"/>
      <x:c r="O162" s="1"/>
      <x:c r="P162" s="1"/>
      <x:c r="Q162" s="1"/>
    </x:row>
    <x:row r="163" ht="22" customHeight="1">
      <x:c r="A163" s="1" t="str">
        <x:v>O0228</x:v>
      </x:c>
      <x:c r="B163" s="1" t="str">
        <x:v>Simulated Gurugram Management Institute 228</x:v>
      </x:c>
      <x:c r="C163" s="9" t="n">
        <x:v>2.785</x:v>
      </x:c>
      <x:c r="D163" s="9" t="n">
        <x:v>8.5</x:v>
      </x:c>
      <x:c r="E163" s="9" t="n">
        <x:v>11.25</x:v>
      </x:c>
      <x:c r="F163" s="9" t="n">
        <x:v>7</x:v>
      </x:c>
      <x:c r="G163" s="9" t="n">
        <x:v>8.3333333333</x:v>
      </x:c>
      <x:c r="H163" s="9" t="n">
        <x:v>1.85</x:v>
      </x:c>
      <x:c r="I163" s="9" t="n">
        <x:v>2.5714285714</x:v>
      </x:c>
      <x:c r="J163" s="9" t="n">
        <x:v>7.1666666667</x:v>
      </x:c>
      <x:c r="K163" s="9" t="n">
        <x:f>ROUND(SUM(C163:J163),2)</x:f>
        <x:v>49.46</x:v>
      </x:c>
      <x:c r="L163" s="1" t="str">
        <x:f>IF(K163&gt;=70,"High",IF(K163&gt;=45,"Medium","Low"))</x:f>
        <x:v>Medium</x:v>
      </x:c>
      <x:c r="M163" s="1"/>
      <x:c r="N163" s="1"/>
      <x:c r="O163" s="1"/>
      <x:c r="P163" s="1"/>
      <x:c r="Q163" s="1"/>
    </x:row>
    <x:row r="164" ht="22" customHeight="1">
      <x:c r="A164" s="1" t="str">
        <x:v>O0029</x:v>
      </x:c>
      <x:c r="B164" s="1" t="str">
        <x:v>Simulated Guwahati Engineering College 029</x:v>
      </x:c>
      <x:c r="C164" s="9" t="n">
        <x:v>3.233</x:v>
      </x:c>
      <x:c r="D164" s="9" t="n">
        <x:v>5.5</x:v>
      </x:c>
      <x:c r="E164" s="9" t="n">
        <x:v>10</x:v>
      </x:c>
      <x:c r="F164" s="9" t="n">
        <x:v>7</x:v>
      </x:c>
      <x:c r="G164" s="9" t="n">
        <x:v>11.25</x:v>
      </x:c>
      <x:c r="H164" s="9" t="n">
        <x:v>1.68</x:v>
      </x:c>
      <x:c r="I164" s="9" t="n">
        <x:v>1.4285714286</x:v>
      </x:c>
      <x:c r="J164" s="9" t="n">
        <x:v>9.3333333333</x:v>
      </x:c>
      <x:c r="K164" s="9" t="n">
        <x:f>ROUND(SUM(C164:J164),2)</x:f>
        <x:v>49.42</x:v>
      </x:c>
      <x:c r="L164" s="1" t="str">
        <x:f>IF(K164&gt;=70,"High",IF(K164&gt;=45,"Medium","Low"))</x:f>
        <x:v>Medium</x:v>
      </x:c>
      <x:c r="M164" s="1"/>
      <x:c r="N164" s="1"/>
      <x:c r="O164" s="1"/>
      <x:c r="P164" s="1"/>
      <x:c r="Q164" s="1"/>
    </x:row>
    <x:row r="165" ht="22" customHeight="1">
      <x:c r="A165" s="1" t="str">
        <x:v>O0046</x:v>
      </x:c>
      <x:c r="B165" s="1" t="str">
        <x:v>Simulated New Delhi University 046</x:v>
      </x:c>
      <x:c r="C165" s="9" t="n">
        <x:v>4.629</x:v>
      </x:c>
      <x:c r="D165" s="9" t="n">
        <x:v>8.5</x:v>
      </x:c>
      <x:c r="E165" s="9" t="n">
        <x:v>6.25</x:v>
      </x:c>
      <x:c r="F165" s="9" t="n">
        <x:v>7</x:v>
      </x:c>
      <x:c r="G165" s="9" t="n">
        <x:v>12</x:v>
      </x:c>
      <x:c r="H165" s="9" t="n">
        <x:v>2.28</x:v>
      </x:c>
      <x:c r="I165" s="9" t="n">
        <x:v>1.4285714286</x:v>
      </x:c>
      <x:c r="J165" s="9" t="n">
        <x:v>7.1666666667</x:v>
      </x:c>
      <x:c r="K165" s="9" t="n">
        <x:f>ROUND(SUM(C165:J165),2)</x:f>
        <x:v>49.25</x:v>
      </x:c>
      <x:c r="L165" s="1" t="str">
        <x:f>IF(K165&gt;=70,"High",IF(K165&gt;=45,"Medium","Low"))</x:f>
        <x:v>Medium</x:v>
      </x:c>
      <x:c r="M165" s="1"/>
      <x:c r="N165" s="1"/>
      <x:c r="O165" s="1"/>
      <x:c r="P165" s="1"/>
      <x:c r="Q165" s="1"/>
    </x:row>
    <x:row r="166" ht="22" customHeight="1">
      <x:c r="A166" s="1" t="str">
        <x:v>O0431</x:v>
      </x:c>
      <x:c r="B166" s="1" t="str">
        <x:v>Simulated Kolkata Arts and Science College 431</x:v>
      </x:c>
      <x:c r="C166" s="9" t="n">
        <x:v>4.336</x:v>
      </x:c>
      <x:c r="D166" s="9" t="n">
        <x:v>6.5</x:v>
      </x:c>
      <x:c r="E166" s="9" t="n">
        <x:v>8.75</x:v>
      </x:c>
      <x:c r="F166" s="9" t="n">
        <x:v>7</x:v>
      </x:c>
      <x:c r="G166" s="9" t="n">
        <x:v>8.5714285714</x:v>
      </x:c>
      <x:c r="H166" s="9" t="n">
        <x:v>1.79</x:v>
      </x:c>
      <x:c r="I166" s="9" t="n">
        <x:v>2.5714285714</x:v>
      </x:c>
      <x:c r="J166" s="9" t="n">
        <x:v>9.6666666667</x:v>
      </x:c>
      <x:c r="K166" s="9" t="n">
        <x:f>ROUND(SUM(C166:J166),2)</x:f>
        <x:v>49.19</x:v>
      </x:c>
      <x:c r="L166" s="1" t="str">
        <x:f>IF(K166&gt;=70,"High",IF(K166&gt;=45,"Medium","Low"))</x:f>
        <x:v>Medium</x:v>
      </x:c>
      <x:c r="M166" s="1"/>
      <x:c r="N166" s="1"/>
      <x:c r="O166" s="1"/>
      <x:c r="P166" s="1"/>
      <x:c r="Q166" s="1"/>
    </x:row>
    <x:row r="167" ht="22" customHeight="1">
      <x:c r="A167" s="1" t="str">
        <x:v>O0068</x:v>
      </x:c>
      <x:c r="B167" s="1" t="str">
        <x:v>Simulated Bengaluru Management Institute 068</x:v>
      </x:c>
      <x:c r="C167" s="9" t="n">
        <x:v>0.66</x:v>
      </x:c>
      <x:c r="D167" s="9" t="n">
        <x:v>9</x:v>
      </x:c>
      <x:c r="E167" s="9" t="n">
        <x:v>12.5</x:v>
      </x:c>
      <x:c r="F167" s="9" t="n">
        <x:v>4</x:v>
      </x:c>
      <x:c r="G167" s="9" t="n">
        <x:v>10.5</x:v>
      </x:c>
      <x:c r="H167" s="9" t="n">
        <x:v>1.03</x:v>
      </x:c>
      <x:c r="I167" s="9" t="n">
        <x:v>7.1428571429</x:v>
      </x:c>
      <x:c r="J167" s="9" t="n">
        <x:v>4.1666666667</x:v>
      </x:c>
      <x:c r="K167" s="9" t="n">
        <x:f>ROUND(SUM(C167:J167),2)</x:f>
        <x:v>49</x:v>
      </x:c>
      <x:c r="L167" s="1" t="str">
        <x:f>IF(K167&gt;=70,"High",IF(K167&gt;=45,"Medium","Low"))</x:f>
        <x:v>Medium</x:v>
      </x:c>
      <x:c r="M167" s="1"/>
      <x:c r="N167" s="1"/>
      <x:c r="O167" s="1"/>
      <x:c r="P167" s="1"/>
      <x:c r="Q167" s="1"/>
    </x:row>
    <x:row r="168" ht="22" customHeight="1">
      <x:c r="A168" s="1" t="str">
        <x:v>O0112</x:v>
      </x:c>
      <x:c r="B168" s="1" t="str">
        <x:v>Simulated Jaipur Management Institute 112</x:v>
      </x:c>
      <x:c r="C168" s="9" t="n">
        <x:v>3.694</x:v>
      </x:c>
      <x:c r="D168" s="9" t="n">
        <x:v>8</x:v>
      </x:c>
      <x:c r="E168" s="9" t="n">
        <x:v>8.75</x:v>
      </x:c>
      <x:c r="F168" s="9" t="n">
        <x:v>7</x:v>
      </x:c>
      <x:c r="G168" s="9" t="n">
        <x:v>8.5714285714</x:v>
      </x:c>
      <x:c r="H168" s="9" t="n">
        <x:v>2.07</x:v>
      </x:c>
      <x:c r="I168" s="9" t="n">
        <x:v>2.5714285714</x:v>
      </x:c>
      <x:c r="J168" s="9" t="n">
        <x:v>8.3333333333</x:v>
      </x:c>
      <x:c r="K168" s="9" t="n">
        <x:f>ROUND(SUM(C168:J168),2)</x:f>
        <x:v>48.99</x:v>
      </x:c>
      <x:c r="L168" s="1" t="str">
        <x:f>IF(K168&gt;=70,"High",IF(K168&gt;=45,"Medium","Low"))</x:f>
        <x:v>Medium</x:v>
      </x:c>
      <x:c r="M168" s="1"/>
      <x:c r="N168" s="1"/>
      <x:c r="O168" s="1"/>
      <x:c r="P168" s="1"/>
      <x:c r="Q168" s="1"/>
    </x:row>
    <x:row r="169" ht="22" customHeight="1">
      <x:c r="A169" s="1" t="str">
        <x:v>O0245</x:v>
      </x:c>
      <x:c r="B169" s="1" t="str">
        <x:v>Simulated Pune Management Institute 245</x:v>
      </x:c>
      <x:c r="C169" s="9" t="n">
        <x:v>2.859</x:v>
      </x:c>
      <x:c r="D169" s="9" t="n">
        <x:v>8</x:v>
      </x:c>
      <x:c r="E169" s="9" t="n">
        <x:v>11.25</x:v>
      </x:c>
      <x:c r="F169" s="9" t="n">
        <x:v>7</x:v>
      </x:c>
      <x:c r="G169" s="9" t="n">
        <x:v>1.6666666667</x:v>
      </x:c>
      <x:c r="H169" s="9" t="n">
        <x:v>1.71</x:v>
      </x:c>
      <x:c r="I169" s="9" t="n">
        <x:v>7.1428571429</x:v>
      </x:c>
      <x:c r="J169" s="9" t="n">
        <x:v>9.3333333333</x:v>
      </x:c>
      <x:c r="K169" s="9" t="n">
        <x:f>ROUND(SUM(C169:J169),2)</x:f>
        <x:v>48.96</x:v>
      </x:c>
      <x:c r="L169" s="1" t="str">
        <x:f>IF(K169&gt;=70,"High",IF(K169&gt;=45,"Medium","Low"))</x:f>
        <x:v>Medium</x:v>
      </x:c>
      <x:c r="M169" s="1"/>
      <x:c r="N169" s="1"/>
      <x:c r="O169" s="1"/>
      <x:c r="P169" s="1"/>
      <x:c r="Q169" s="1"/>
    </x:row>
    <x:row r="170" ht="22" customHeight="1">
      <x:c r="A170" s="1" t="str">
        <x:v>O0542</x:v>
      </x:c>
      <x:c r="B170" s="1" t="str">
        <x:v>Simulated Noida Engineering College 542</x:v>
      </x:c>
      <x:c r="C170" s="9" t="n">
        <x:v>2.58</x:v>
      </x:c>
      <x:c r="D170" s="9" t="n">
        <x:v>8.5</x:v>
      </x:c>
      <x:c r="E170" s="9" t="n">
        <x:v>6.25</x:v>
      </x:c>
      <x:c r="F170" s="9" t="n">
        <x:v>7</x:v>
      </x:c>
      <x:c r="G170" s="9" t="n">
        <x:v>12</x:v>
      </x:c>
      <x:c r="H170" s="9" t="n">
        <x:v>2.01</x:v>
      </x:c>
      <x:c r="I170" s="9" t="n">
        <x:v>1.4285714286</x:v>
      </x:c>
      <x:c r="J170" s="9" t="n">
        <x:v>9.1666666667</x:v>
      </x:c>
      <x:c r="K170" s="9" t="n">
        <x:f>ROUND(SUM(C170:J170),2)</x:f>
        <x:v>48.94</x:v>
      </x:c>
      <x:c r="L170" s="1" t="str">
        <x:f>IF(K170&gt;=70,"High",IF(K170&gt;=45,"Medium","Low"))</x:f>
        <x:v>Medium</x:v>
      </x:c>
      <x:c r="M170" s="1"/>
      <x:c r="N170" s="1"/>
      <x:c r="O170" s="1"/>
      <x:c r="P170" s="1"/>
      <x:c r="Q170" s="1"/>
    </x:row>
    <x:row r="171" ht="22" customHeight="1">
      <x:c r="A171" s="1" t="str">
        <x:v>O0577</x:v>
      </x:c>
      <x:c r="B171" s="1" t="str">
        <x:v>Simulated Jaipur Management Institute 577</x:v>
      </x:c>
      <x:c r="C171" s="9" t="n">
        <x:v>1.622</x:v>
      </x:c>
      <x:c r="D171" s="9" t="n">
        <x:v>8</x:v>
      </x:c>
      <x:c r="E171" s="9" t="n">
        <x:v>13.75</x:v>
      </x:c>
      <x:c r="F171" s="9" t="n">
        <x:v>4</x:v>
      </x:c>
      <x:c r="G171" s="9" t="n">
        <x:v>10.9090909091</x:v>
      </x:c>
      <x:c r="H171" s="9" t="n">
        <x:v>1.84</x:v>
      </x:c>
      <x:c r="I171" s="9" t="n">
        <x:v>1.4285714286</x:v>
      </x:c>
      <x:c r="J171" s="9" t="n">
        <x:v>7.3333333333</x:v>
      </x:c>
      <x:c r="K171" s="9" t="n">
        <x:f>ROUND(SUM(C171:J171),2)</x:f>
        <x:v>48.88</x:v>
      </x:c>
      <x:c r="L171" s="1" t="str">
        <x:f>IF(K171&gt;=70,"High",IF(K171&gt;=45,"Medium","Low"))</x:f>
        <x:v>Medium</x:v>
      </x:c>
      <x:c r="M171" s="1"/>
      <x:c r="N171" s="1"/>
      <x:c r="O171" s="1"/>
      <x:c r="P171" s="1"/>
      <x:c r="Q171" s="1"/>
    </x:row>
    <x:row r="172" ht="22" customHeight="1">
      <x:c r="A172" s="1" t="str">
        <x:v>O0345</x:v>
      </x:c>
      <x:c r="B172" s="1" t="str">
        <x:v>Simulated Indore Engineering College 345</x:v>
      </x:c>
      <x:c r="C172" s="9" t="n">
        <x:v>4.765</x:v>
      </x:c>
      <x:c r="D172" s="9" t="n">
        <x:v>6.5</x:v>
      </x:c>
      <x:c r="E172" s="9" t="n">
        <x:v>10</x:v>
      </x:c>
      <x:c r="F172" s="9" t="n">
        <x:v>7</x:v>
      </x:c>
      <x:c r="G172" s="9" t="n">
        <x:v>11.25</x:v>
      </x:c>
      <x:c r="H172" s="9" t="n">
        <x:v>2.41</x:v>
      </x:c>
      <x:c r="I172" s="9" t="n">
        <x:v>0.4285714286</x:v>
      </x:c>
      <x:c r="J172" s="9" t="n">
        <x:v>6.5</x:v>
      </x:c>
      <x:c r="K172" s="9" t="n">
        <x:f>ROUND(SUM(C172:J172),2)</x:f>
        <x:v>48.85</x:v>
      </x:c>
      <x:c r="L172" s="1" t="str">
        <x:f>IF(K172&gt;=70,"High",IF(K172&gt;=45,"Medium","Low"))</x:f>
        <x:v>Medium</x:v>
      </x:c>
      <x:c r="M172" s="1"/>
      <x:c r="N172" s="1"/>
      <x:c r="O172" s="1"/>
      <x:c r="P172" s="1"/>
      <x:c r="Q172" s="1"/>
    </x:row>
    <x:row r="173" ht="22" customHeight="1">
      <x:c r="A173" s="1" t="str">
        <x:v>O0002</x:v>
      </x:c>
      <x:c r="B173" s="1" t="str">
        <x:v>Simulated Noida Arts and Science College 002</x:v>
      </x:c>
      <x:c r="C173" s="9" t="n">
        <x:v>3.293</x:v>
      </x:c>
      <x:c r="D173" s="9" t="n">
        <x:v>8.5</x:v>
      </x:c>
      <x:c r="E173" s="9" t="n">
        <x:v>8.75</x:v>
      </x:c>
      <x:c r="F173" s="9" t="n">
        <x:v>7</x:v>
      </x:c>
      <x:c r="G173" s="9" t="n">
        <x:v>8.5714285714</x:v>
      </x:c>
      <x:c r="H173" s="9" t="n">
        <x:v>2.49</x:v>
      </x:c>
      <x:c r="I173" s="9" t="n">
        <x:v>2.5714285714</x:v>
      </x:c>
      <x:c r="J173" s="9" t="n">
        <x:v>7.6666666667</x:v>
      </x:c>
      <x:c r="K173" s="9" t="n">
        <x:f>ROUND(SUM(C173:J173),2)</x:f>
        <x:v>48.84</x:v>
      </x:c>
      <x:c r="L173" s="1" t="str">
        <x:f>IF(K173&gt;=70,"High",IF(K173&gt;=45,"Medium","Low"))</x:f>
        <x:v>Medium</x:v>
      </x:c>
      <x:c r="M173" s="1"/>
      <x:c r="N173" s="1"/>
      <x:c r="O173" s="1"/>
      <x:c r="P173" s="1"/>
      <x:c r="Q173" s="1"/>
    </x:row>
    <x:row r="174" ht="22" customHeight="1">
      <x:c r="A174" s="1" t="str">
        <x:v>O0430</x:v>
      </x:c>
      <x:c r="B174" s="1" t="str">
        <x:v>Simulated Hyderabad Management Institute 430</x:v>
      </x:c>
      <x:c r="C174" s="9" t="n">
        <x:v>6</x:v>
      </x:c>
      <x:c r="D174" s="9" t="n">
        <x:v>9</x:v>
      </x:c>
      <x:c r="E174" s="9" t="n">
        <x:v>7.5</x:v>
      </x:c>
      <x:c r="F174" s="9" t="n">
        <x:v>7</x:v>
      </x:c>
      <x:c r="G174" s="9" t="n">
        <x:v>7.5</x:v>
      </x:c>
      <x:c r="H174" s="9" t="n">
        <x:v>3.35</x:v>
      </x:c>
      <x:c r="I174" s="9" t="n">
        <x:v>0.4285714286</x:v>
      </x:c>
      <x:c r="J174" s="9" t="n">
        <x:v>8</x:v>
      </x:c>
      <x:c r="K174" s="9" t="n">
        <x:f>ROUND(SUM(C174:J174),2)</x:f>
        <x:v>48.78</x:v>
      </x:c>
      <x:c r="L174" s="1" t="str">
        <x:f>IF(K174&gt;=70,"High",IF(K174&gt;=45,"Medium","Low"))</x:f>
        <x:v>Medium</x:v>
      </x:c>
      <x:c r="M174" s="1"/>
      <x:c r="N174" s="1"/>
      <x:c r="O174" s="1"/>
      <x:c r="P174" s="1"/>
      <x:c r="Q174" s="1"/>
    </x:row>
    <x:row r="175" ht="22" customHeight="1">
      <x:c r="A175" s="1" t="str">
        <x:v>O0140</x:v>
      </x:c>
      <x:c r="B175" s="1" t="str">
        <x:v>Simulated Pune University 140</x:v>
      </x:c>
      <x:c r="C175" s="9" t="n">
        <x:v>15</x:v>
      </x:c>
      <x:c r="D175" s="9" t="n">
        <x:v>8</x:v>
      </x:c>
      <x:c r="E175" s="9" t="n">
        <x:v>3.75</x:v>
      </x:c>
      <x:c r="F175" s="9" t="n">
        <x:v>10</x:v>
      </x:c>
      <x:c r="G175" s="9" t="n">
        <x:v>0</x:v>
      </x:c>
      <x:c r="H175" s="9" t="n">
        <x:v>7.71</x:v>
      </x:c>
      <x:c r="I175" s="9" t="n">
        <x:v>4.2857142857</x:v>
      </x:c>
      <x:c r="J175" s="9" t="n">
        <x:v>0</x:v>
      </x:c>
      <x:c r="K175" s="9" t="n">
        <x:f>ROUND(SUM(C175:J175),2)</x:f>
        <x:v>48.75</x:v>
      </x:c>
      <x:c r="L175" s="1" t="str">
        <x:f>IF(K175&gt;=70,"High",IF(K175&gt;=45,"Medium","Low"))</x:f>
        <x:v>Medium</x:v>
      </x:c>
      <x:c r="M175" s="1"/>
      <x:c r="N175" s="1"/>
      <x:c r="O175" s="1"/>
      <x:c r="P175" s="1"/>
      <x:c r="Q175" s="1"/>
    </x:row>
    <x:row r="176" ht="22" customHeight="1">
      <x:c r="A176" s="1" t="str">
        <x:v>O0288</x:v>
      </x:c>
      <x:c r="B176" s="1" t="str">
        <x:v>Simulated Gurugram Engineering College 288</x:v>
      </x:c>
      <x:c r="C176" s="9" t="n">
        <x:v>3.71</x:v>
      </x:c>
      <x:c r="D176" s="9" t="n">
        <x:v>8.5</x:v>
      </x:c>
      <x:c r="E176" s="9" t="n">
        <x:v>13.75</x:v>
      </x:c>
      <x:c r="F176" s="9" t="n">
        <x:v>7</x:v>
      </x:c>
      <x:c r="G176" s="9" t="n">
        <x:v>6.8181818182</x:v>
      </x:c>
      <x:c r="H176" s="9" t="n">
        <x:v>2.66</x:v>
      </x:c>
      <x:c r="I176" s="9" t="n">
        <x:v>0.4285714286</x:v>
      </x:c>
      <x:c r="J176" s="9" t="n">
        <x:v>5.8333333333</x:v>
      </x:c>
      <x:c r="K176" s="9" t="n">
        <x:f>ROUND(SUM(C176:J176),2)</x:f>
        <x:v>48.7</x:v>
      </x:c>
      <x:c r="L176" s="1" t="str">
        <x:f>IF(K176&gt;=70,"High",IF(K176&gt;=45,"Medium","Low"))</x:f>
        <x:v>Medium</x:v>
      </x:c>
      <x:c r="M176" s="1"/>
      <x:c r="N176" s="1"/>
      <x:c r="O176" s="1"/>
      <x:c r="P176" s="1"/>
      <x:c r="Q176" s="1"/>
    </x:row>
    <x:row r="177" ht="22" customHeight="1">
      <x:c r="A177" s="1" t="str">
        <x:v>O0287</x:v>
      </x:c>
      <x:c r="B177" s="1" t="str">
        <x:v>Simulated Noida Engineering College 287</x:v>
      </x:c>
      <x:c r="C177" s="9" t="n">
        <x:v>5.741</x:v>
      </x:c>
      <x:c r="D177" s="9" t="n">
        <x:v>8.5</x:v>
      </x:c>
      <x:c r="E177" s="9" t="n">
        <x:v>10</x:v>
      </x:c>
      <x:c r="F177" s="9" t="n">
        <x:v>7</x:v>
      </x:c>
      <x:c r="G177" s="9" t="n">
        <x:v>7.5</x:v>
      </x:c>
      <x:c r="H177" s="9" t="n">
        <x:v>1.97</x:v>
      </x:c>
      <x:c r="I177" s="9" t="n">
        <x:v>1.4285714286</x:v>
      </x:c>
      <x:c r="J177" s="9" t="n">
        <x:v>6.5</x:v>
      </x:c>
      <x:c r="K177" s="9" t="n">
        <x:f>ROUND(SUM(C177:J177),2)</x:f>
        <x:v>48.64</x:v>
      </x:c>
      <x:c r="L177" s="1" t="str">
        <x:f>IF(K177&gt;=70,"High",IF(K177&gt;=45,"Medium","Low"))</x:f>
        <x:v>Medium</x:v>
      </x:c>
      <x:c r="M177" s="1"/>
      <x:c r="N177" s="1"/>
      <x:c r="O177" s="1"/>
      <x:c r="P177" s="1"/>
      <x:c r="Q177" s="1"/>
    </x:row>
    <x:row r="178" ht="22" customHeight="1">
      <x:c r="A178" s="1" t="str">
        <x:v>O0539</x:v>
      </x:c>
      <x:c r="B178" s="1" t="str">
        <x:v>Simulated Guwahati Arts and Science College 539</x:v>
      </x:c>
      <x:c r="C178" s="9" t="n">
        <x:v>2.958</x:v>
      </x:c>
      <x:c r="D178" s="9" t="n">
        <x:v>5.5</x:v>
      </x:c>
      <x:c r="E178" s="9" t="n">
        <x:v>13.75</x:v>
      </x:c>
      <x:c r="F178" s="9" t="n">
        <x:v>7</x:v>
      </x:c>
      <x:c r="G178" s="9" t="n">
        <x:v>5.4545454545</x:v>
      </x:c>
      <x:c r="H178" s="9" t="n">
        <x:v>1.97</x:v>
      </x:c>
      <x:c r="I178" s="9" t="n">
        <x:v>2.5714285714</x:v>
      </x:c>
      <x:c r="J178" s="9" t="n">
        <x:v>9.3333333333</x:v>
      </x:c>
      <x:c r="K178" s="9" t="n">
        <x:f>ROUND(SUM(C178:J178),2)</x:f>
        <x:v>48.54</x:v>
      </x:c>
      <x:c r="L178" s="1" t="str">
        <x:f>IF(K178&gt;=70,"High",IF(K178&gt;=45,"Medium","Low"))</x:f>
        <x:v>Medium</x:v>
      </x:c>
      <x:c r="M178" s="1"/>
      <x:c r="N178" s="1"/>
      <x:c r="O178" s="1"/>
      <x:c r="P178" s="1"/>
      <x:c r="Q178" s="1"/>
    </x:row>
    <x:row r="179" ht="22" customHeight="1">
      <x:c r="A179" s="1" t="str">
        <x:v>O0080</x:v>
      </x:c>
      <x:c r="B179" s="1" t="str">
        <x:v>Simulated Pune University 080</x:v>
      </x:c>
      <x:c r="C179" s="9" t="n">
        <x:v>4.659</x:v>
      </x:c>
      <x:c r="D179" s="9" t="n">
        <x:v>8</x:v>
      </x:c>
      <x:c r="E179" s="9" t="n">
        <x:v>11.25</x:v>
      </x:c>
      <x:c r="F179" s="9" t="n">
        <x:v>7</x:v>
      </x:c>
      <x:c r="G179" s="9" t="n">
        <x:v>6.6666666667</x:v>
      </x:c>
      <x:c r="H179" s="9" t="n">
        <x:v>2.49</x:v>
      </x:c>
      <x:c r="I179" s="9" t="n">
        <x:v>1.4285714286</x:v>
      </x:c>
      <x:c r="J179" s="9" t="n">
        <x:v>7</x:v>
      </x:c>
      <x:c r="K179" s="9" t="n">
        <x:f>ROUND(SUM(C179:J179),2)</x:f>
        <x:v>48.49</x:v>
      </x:c>
      <x:c r="L179" s="1" t="str">
        <x:f>IF(K179&gt;=70,"High",IF(K179&gt;=45,"Medium","Low"))</x:f>
        <x:v>Medium</x:v>
      </x:c>
      <x:c r="M179" s="1"/>
      <x:c r="N179" s="1"/>
      <x:c r="O179" s="1"/>
      <x:c r="P179" s="1"/>
      <x:c r="Q179" s="1"/>
    </x:row>
    <x:row r="180" ht="22" customHeight="1">
      <x:c r="A180" s="1" t="str">
        <x:v>O0237</x:v>
      </x:c>
      <x:c r="B180" s="1" t="str">
        <x:v>Simulated Bhubaneswar Management Institute 237</x:v>
      </x:c>
      <x:c r="C180" s="9" t="n">
        <x:v>1.33</x:v>
      </x:c>
      <x:c r="D180" s="9" t="n">
        <x:v>6.5</x:v>
      </x:c>
      <x:c r="E180" s="9" t="n">
        <x:v>13.75</x:v>
      </x:c>
      <x:c r="F180" s="9" t="n">
        <x:v>4</x:v>
      </x:c>
      <x:c r="G180" s="9" t="n">
        <x:v>15</x:v>
      </x:c>
      <x:c r="H180" s="9" t="n">
        <x:v>1.33</x:v>
      </x:c>
      <x:c r="I180" s="9" t="n">
        <x:v>1.4285714286</x:v>
      </x:c>
      <x:c r="J180" s="9" t="n">
        <x:v>5</x:v>
      </x:c>
      <x:c r="K180" s="9" t="n">
        <x:f>ROUND(SUM(C180:J180),2)</x:f>
        <x:v>48.34</x:v>
      </x:c>
      <x:c r="L180" s="1" t="str">
        <x:f>IF(K180&gt;=70,"High",IF(K180&gt;=45,"Medium","Low"))</x:f>
        <x:v>Medium</x:v>
      </x:c>
      <x:c r="M180" s="1"/>
      <x:c r="N180" s="1"/>
      <x:c r="O180" s="1"/>
      <x:c r="P180" s="1"/>
      <x:c r="Q180" s="1"/>
    </x:row>
    <x:row r="181" ht="22" customHeight="1">
      <x:c r="A181" s="1" t="str">
        <x:v>O0466</x:v>
      </x:c>
      <x:c r="B181" s="1" t="str">
        <x:v>Simulated New Delhi Management Institute 466</x:v>
      </x:c>
      <x:c r="C181" s="9" t="n">
        <x:v>3.379</x:v>
      </x:c>
      <x:c r="D181" s="9" t="n">
        <x:v>8.5</x:v>
      </x:c>
      <x:c r="E181" s="9" t="n">
        <x:v>5</x:v>
      </x:c>
      <x:c r="F181" s="9" t="n">
        <x:v>7</x:v>
      </x:c>
      <x:c r="G181" s="9" t="n">
        <x:v>11.25</x:v>
      </x:c>
      <x:c r="H181" s="9" t="n">
        <x:v>2.88</x:v>
      </x:c>
      <x:c r="I181" s="9" t="n">
        <x:v>1.4285714286</x:v>
      </x:c>
      <x:c r="J181" s="9" t="n">
        <x:v>8.6666666667</x:v>
      </x:c>
      <x:c r="K181" s="9" t="n">
        <x:f>ROUND(SUM(C181:J181),2)</x:f>
        <x:v>48.1</x:v>
      </x:c>
      <x:c r="L181" s="1" t="str">
        <x:f>IF(K181&gt;=70,"High",IF(K181&gt;=45,"Medium","Low"))</x:f>
        <x:v>Medium</x:v>
      </x:c>
      <x:c r="M181" s="1"/>
      <x:c r="N181" s="1"/>
      <x:c r="O181" s="1"/>
      <x:c r="P181" s="1"/>
      <x:c r="Q181" s="1"/>
    </x:row>
    <x:row r="182" ht="22" customHeight="1">
      <x:c r="A182" s="1" t="str">
        <x:v>O0305</x:v>
      </x:c>
      <x:c r="B182" s="1" t="str">
        <x:v>Simulated Pune Arts and Science College 305</x:v>
      </x:c>
      <x:c r="C182" s="9" t="n">
        <x:v>4.316</x:v>
      </x:c>
      <x:c r="D182" s="9" t="n">
        <x:v>8</x:v>
      </x:c>
      <x:c r="E182" s="9" t="n">
        <x:v>5</x:v>
      </x:c>
      <x:c r="F182" s="9" t="n">
        <x:v>7</x:v>
      </x:c>
      <x:c r="G182" s="9" t="n">
        <x:v>11.25</x:v>
      </x:c>
      <x:c r="H182" s="9" t="n">
        <x:v>2.08</x:v>
      </x:c>
      <x:c r="I182" s="9" t="n">
        <x:v>0.4285714286</x:v>
      </x:c>
      <x:c r="J182" s="9" t="n">
        <x:v>10</x:v>
      </x:c>
      <x:c r="K182" s="9" t="n">
        <x:f>ROUND(SUM(C182:J182),2)</x:f>
        <x:v>48.07</x:v>
      </x:c>
      <x:c r="L182" s="1" t="str">
        <x:f>IF(K182&gt;=70,"High",IF(K182&gt;=45,"Medium","Low"))</x:f>
        <x:v>Medium</x:v>
      </x:c>
      <x:c r="M182" s="1"/>
      <x:c r="N182" s="1"/>
      <x:c r="O182" s="1"/>
      <x:c r="P182" s="1"/>
      <x:c r="Q182" s="1"/>
    </x:row>
    <x:row r="183" ht="22" customHeight="1">
      <x:c r="A183" s="1" t="str">
        <x:v>O0176</x:v>
      </x:c>
      <x:c r="B183" s="1" t="str">
        <x:v>Simulated Kolkata Engineering College 176</x:v>
      </x:c>
      <x:c r="C183" s="9" t="n">
        <x:v>5.047</x:v>
      </x:c>
      <x:c r="D183" s="9" t="n">
        <x:v>6.5</x:v>
      </x:c>
      <x:c r="E183" s="9" t="n">
        <x:v>12.5</x:v>
      </x:c>
      <x:c r="F183" s="9" t="n">
        <x:v>7</x:v>
      </x:c>
      <x:c r="G183" s="9" t="n">
        <x:v>3</x:v>
      </x:c>
      <x:c r="H183" s="9" t="n">
        <x:v>3.18</x:v>
      </x:c>
      <x:c r="I183" s="9" t="n">
        <x:v>2.5714285714</x:v>
      </x:c>
      <x:c r="J183" s="9" t="n">
        <x:v>8.1666666667</x:v>
      </x:c>
      <x:c r="K183" s="9" t="n">
        <x:f>ROUND(SUM(C183:J183),2)</x:f>
        <x:v>47.97</x:v>
      </x:c>
      <x:c r="L183" s="1" t="str">
        <x:f>IF(K183&gt;=70,"High",IF(K183&gt;=45,"Medium","Low"))</x:f>
        <x:v>Medium</x:v>
      </x:c>
      <x:c r="M183" s="1"/>
      <x:c r="N183" s="1"/>
      <x:c r="O183" s="1"/>
      <x:c r="P183" s="1"/>
      <x:c r="Q183" s="1"/>
    </x:row>
    <x:row r="184" ht="22" customHeight="1">
      <x:c r="A184" s="1" t="str">
        <x:v>O0078</x:v>
      </x:c>
      <x:c r="B184" s="1" t="str">
        <x:v>Simulated Gurugram Engineering College 078</x:v>
      </x:c>
      <x:c r="C184" s="9" t="n">
        <x:v>4.417</x:v>
      </x:c>
      <x:c r="D184" s="9" t="n">
        <x:v>8.5</x:v>
      </x:c>
      <x:c r="E184" s="9" t="n">
        <x:v>12.5</x:v>
      </x:c>
      <x:c r="F184" s="9" t="n">
        <x:v>7</x:v>
      </x:c>
      <x:c r="G184" s="9" t="n">
        <x:v>10.5</x:v>
      </x:c>
      <x:c r="H184" s="9" t="n">
        <x:v>3.58</x:v>
      </x:c>
      <x:c r="I184" s="9" t="n">
        <x:v>1.4285714286</x:v>
      </x:c>
      <x:c r="J184" s="9" t="n">
        <x:v>0</x:v>
      </x:c>
      <x:c r="K184" s="9" t="n">
        <x:f>ROUND(SUM(C184:J184),2)</x:f>
        <x:v>47.93</x:v>
      </x:c>
      <x:c r="L184" s="1" t="str">
        <x:f>IF(K184&gt;=70,"High",IF(K184&gt;=45,"Medium","Low"))</x:f>
        <x:v>Medium</x:v>
      </x:c>
      <x:c r="M184" s="1"/>
      <x:c r="N184" s="1"/>
      <x:c r="O184" s="1"/>
      <x:c r="P184" s="1"/>
      <x:c r="Q184" s="1"/>
    </x:row>
    <x:row r="185" ht="22" customHeight="1">
      <x:c r="A185" s="1" t="str">
        <x:v>O0051</x:v>
      </x:c>
      <x:c r="B185" s="1" t="str">
        <x:v>Simulated Ahmedabad Management Institute 051</x:v>
      </x:c>
      <x:c r="C185" s="9" t="n">
        <x:v>3.877</x:v>
      </x:c>
      <x:c r="D185" s="9" t="n">
        <x:v>8</x:v>
      </x:c>
      <x:c r="E185" s="9" t="n">
        <x:v>12.5</x:v>
      </x:c>
      <x:c r="F185" s="9" t="n">
        <x:v>7</x:v>
      </x:c>
      <x:c r="G185" s="9" t="n">
        <x:v>6</x:v>
      </x:c>
      <x:c r="H185" s="9" t="n">
        <x:v>2.93</x:v>
      </x:c>
      <x:c r="I185" s="9" t="n">
        <x:v>0.4285714286</x:v>
      </x:c>
      <x:c r="J185" s="9" t="n">
        <x:v>7.1666666667</x:v>
      </x:c>
      <x:c r="K185" s="9" t="n">
        <x:f>ROUND(SUM(C185:J185),2)</x:f>
        <x:v>47.9</x:v>
      </x:c>
      <x:c r="L185" s="1" t="str">
        <x:f>IF(K185&gt;=70,"High",IF(K185&gt;=45,"Medium","Low"))</x:f>
        <x:v>Medium</x:v>
      </x:c>
      <x:c r="M185" s="1"/>
      <x:c r="N185" s="1"/>
      <x:c r="O185" s="1"/>
      <x:c r="P185" s="1"/>
      <x:c r="Q185" s="1"/>
    </x:row>
    <x:row r="186" ht="22" customHeight="1">
      <x:c r="A186" s="1" t="str">
        <x:v>O0047</x:v>
      </x:c>
      <x:c r="B186" s="1" t="str">
        <x:v>Simulated Noida Management Institute 047</x:v>
      </x:c>
      <x:c r="C186" s="9" t="n">
        <x:v>3.288</x:v>
      </x:c>
      <x:c r="D186" s="9" t="n">
        <x:v>8.5</x:v>
      </x:c>
      <x:c r="E186" s="9" t="n">
        <x:v>11.25</x:v>
      </x:c>
      <x:c r="F186" s="9" t="n">
        <x:v>7</x:v>
      </x:c>
      <x:c r="G186" s="9" t="n">
        <x:v>6.6666666667</x:v>
      </x:c>
      <x:c r="H186" s="9" t="n">
        <x:v>1.56</x:v>
      </x:c>
      <x:c r="I186" s="9" t="n">
        <x:v>0.4285714286</x:v>
      </x:c>
      <x:c r="J186" s="9" t="n">
        <x:v>9.1666666667</x:v>
      </x:c>
      <x:c r="K186" s="9" t="n">
        <x:f>ROUND(SUM(C186:J186),2)</x:f>
        <x:v>47.86</x:v>
      </x:c>
      <x:c r="L186" s="1" t="str">
        <x:f>IF(K186&gt;=70,"High",IF(K186&gt;=45,"Medium","Low"))</x:f>
        <x:v>Medium</x:v>
      </x:c>
      <x:c r="M186" s="1"/>
      <x:c r="N186" s="1"/>
      <x:c r="O186" s="1"/>
      <x:c r="P186" s="1"/>
      <x:c r="Q186" s="1"/>
    </x:row>
    <x:row r="187" ht="22" customHeight="1">
      <x:c r="A187" s="1" t="str">
        <x:v>O0066</x:v>
      </x:c>
      <x:c r="B187" s="1" t="str">
        <x:v>Simulated Ahmedabad Engineering College 066</x:v>
      </x:c>
      <x:c r="C187" s="9" t="n">
        <x:v>5.455</x:v>
      </x:c>
      <x:c r="D187" s="9" t="n">
        <x:v>8</x:v>
      </x:c>
      <x:c r="E187" s="9" t="n">
        <x:v>5</x:v>
      </x:c>
      <x:c r="F187" s="9" t="n">
        <x:v>7</x:v>
      </x:c>
      <x:c r="G187" s="9" t="n">
        <x:v>11.25</x:v>
      </x:c>
      <x:c r="H187" s="9" t="n">
        <x:v>3.9</x:v>
      </x:c>
      <x:c r="I187" s="9" t="n">
        <x:v>2.5714285714</x:v>
      </x:c>
      <x:c r="J187" s="9" t="n">
        <x:v>4.6666666667</x:v>
      </x:c>
      <x:c r="K187" s="9" t="n">
        <x:f>ROUND(SUM(C187:J187),2)</x:f>
        <x:v>47.84</x:v>
      </x:c>
      <x:c r="L187" s="1" t="str">
        <x:f>IF(K187&gt;=70,"High",IF(K187&gt;=45,"Medium","Low"))</x:f>
        <x:v>Medium</x:v>
      </x:c>
      <x:c r="M187" s="1"/>
      <x:c r="N187" s="1"/>
      <x:c r="O187" s="1"/>
      <x:c r="P187" s="1"/>
      <x:c r="Q187" s="1"/>
    </x:row>
    <x:row r="188" ht="22" customHeight="1">
      <x:c r="A188" s="1" t="str">
        <x:v>O0233</x:v>
      </x:c>
      <x:c r="B188" s="1" t="str">
        <x:v>Simulated Bengaluru Arts and Science College 233</x:v>
      </x:c>
      <x:c r="C188" s="9" t="n">
        <x:v>3.395</x:v>
      </x:c>
      <x:c r="D188" s="9" t="n">
        <x:v>9</x:v>
      </x:c>
      <x:c r="E188" s="9" t="n">
        <x:v>6.25</x:v>
      </x:c>
      <x:c r="F188" s="9" t="n">
        <x:v>7</x:v>
      </x:c>
      <x:c r="G188" s="9" t="n">
        <x:v>9</x:v>
      </x:c>
      <x:c r="H188" s="9" t="n">
        <x:v>2.83</x:v>
      </x:c>
      <x:c r="I188" s="9" t="n">
        <x:v>10</x:v>
      </x:c>
      <x:c r="J188" s="9" t="n">
        <x:v>0.3333333333</x:v>
      </x:c>
      <x:c r="K188" s="9" t="n">
        <x:f>ROUND(SUM(C188:J188),2)</x:f>
        <x:v>47.81</x:v>
      </x:c>
      <x:c r="L188" s="1" t="str">
        <x:f>IF(K188&gt;=70,"High",IF(K188&gt;=45,"Medium","Low"))</x:f>
        <x:v>Medium</x:v>
      </x:c>
      <x:c r="M188" s="1"/>
      <x:c r="N188" s="1"/>
      <x:c r="O188" s="1"/>
      <x:c r="P188" s="1"/>
      <x:c r="Q188" s="1"/>
    </x:row>
    <x:row r="189" ht="22" customHeight="1">
      <x:c r="A189" s="1" t="str">
        <x:v>O0317</x:v>
      </x:c>
      <x:c r="B189" s="1" t="str">
        <x:v>Simulated Noida Management Institute 317</x:v>
      </x:c>
      <x:c r="C189" s="9" t="n">
        <x:v>5.023</x:v>
      </x:c>
      <x:c r="D189" s="9" t="n">
        <x:v>8.5</x:v>
      </x:c>
      <x:c r="E189" s="9" t="n">
        <x:v>6.25</x:v>
      </x:c>
      <x:c r="F189" s="9" t="n">
        <x:v>7</x:v>
      </x:c>
      <x:c r="G189" s="9" t="n">
        <x:v>9</x:v>
      </x:c>
      <x:c r="H189" s="9" t="n">
        <x:v>4.06</x:v>
      </x:c>
      <x:c r="I189" s="9" t="n">
        <x:v>2.5714285714</x:v>
      </x:c>
      <x:c r="J189" s="9" t="n">
        <x:v>5.1666666667</x:v>
      </x:c>
      <x:c r="K189" s="9" t="n">
        <x:f>ROUND(SUM(C189:J189),2)</x:f>
        <x:v>47.57</x:v>
      </x:c>
      <x:c r="L189" s="1" t="str">
        <x:f>IF(K189&gt;=70,"High",IF(K189&gt;=45,"Medium","Low"))</x:f>
        <x:v>Medium</x:v>
      </x:c>
      <x:c r="M189" s="1"/>
      <x:c r="N189" s="1"/>
      <x:c r="O189" s="1"/>
      <x:c r="P189" s="1"/>
      <x:c r="Q189" s="1"/>
    </x:row>
    <x:row r="190" ht="22" customHeight="1">
      <x:c r="A190" s="1" t="str">
        <x:v>O0031</x:v>
      </x:c>
      <x:c r="B190" s="1" t="str">
        <x:v>Simulated New Delhi Engineering College 031</x:v>
      </x:c>
      <x:c r="C190" s="9" t="n">
        <x:v>4.847</x:v>
      </x:c>
      <x:c r="D190" s="9" t="n">
        <x:v>8.5</x:v>
      </x:c>
      <x:c r="E190" s="9" t="n">
        <x:v>5</x:v>
      </x:c>
      <x:c r="F190" s="9" t="n">
        <x:v>7</x:v>
      </x:c>
      <x:c r="G190" s="9" t="n">
        <x:v>11.25</x:v>
      </x:c>
      <x:c r="H190" s="9" t="n">
        <x:v>2.67</x:v>
      </x:c>
      <x:c r="I190" s="9" t="n">
        <x:v>2.5714285714</x:v>
      </x:c>
      <x:c r="J190" s="9" t="n">
        <x:v>5.6666666667</x:v>
      </x:c>
      <x:c r="K190" s="9" t="n">
        <x:f>ROUND(SUM(C190:J190),2)</x:f>
        <x:v>47.51</x:v>
      </x:c>
      <x:c r="L190" s="1" t="str">
        <x:f>IF(K190&gt;=70,"High",IF(K190&gt;=45,"Medium","Low"))</x:f>
        <x:v>Medium</x:v>
      </x:c>
      <x:c r="M190" s="1"/>
      <x:c r="N190" s="1"/>
      <x:c r="O190" s="1"/>
      <x:c r="P190" s="1"/>
      <x:c r="Q190" s="1"/>
    </x:row>
    <x:row r="191" ht="22" customHeight="1">
      <x:c r="A191" s="1" t="str">
        <x:v>O0263</x:v>
      </x:c>
      <x:c r="B191" s="1" t="str">
        <x:v>Simulated Bengaluru Arts and Science College 263</x:v>
      </x:c>
      <x:c r="C191" s="9" t="n">
        <x:v>2.354</x:v>
      </x:c>
      <x:c r="D191" s="9" t="n">
        <x:v>9</x:v>
      </x:c>
      <x:c r="E191" s="9" t="n">
        <x:v>12.5</x:v>
      </x:c>
      <x:c r="F191" s="9" t="n">
        <x:v>7</x:v>
      </x:c>
      <x:c r="G191" s="9" t="n">
        <x:v>4.5</x:v>
      </x:c>
      <x:c r="H191" s="9" t="n">
        <x:v>2.06</x:v>
      </x:c>
      <x:c r="I191" s="9" t="n">
        <x:v>0.4285714286</x:v>
      </x:c>
      <x:c r="J191" s="9" t="n">
        <x:v>9.6666666667</x:v>
      </x:c>
      <x:c r="K191" s="9" t="n">
        <x:f>ROUND(SUM(C191:J191),2)</x:f>
        <x:v>47.51</x:v>
      </x:c>
      <x:c r="L191" s="1" t="str">
        <x:f>IF(K191&gt;=70,"High",IF(K191&gt;=45,"Medium","Low"))</x:f>
        <x:v>Medium</x:v>
      </x:c>
      <x:c r="M191" s="1"/>
      <x:c r="N191" s="1"/>
      <x:c r="O191" s="1"/>
      <x:c r="P191" s="1"/>
      <x:c r="Q191" s="1"/>
    </x:row>
    <x:row r="192" ht="22" customHeight="1">
      <x:c r="A192" s="1" t="str">
        <x:v>O0303</x:v>
      </x:c>
      <x:c r="B192" s="1" t="str">
        <x:v>Simulated Gurugram Arts and Science College 303</x:v>
      </x:c>
      <x:c r="C192" s="9" t="n">
        <x:v>3.915</x:v>
      </x:c>
      <x:c r="D192" s="9" t="n">
        <x:v>8.5</x:v>
      </x:c>
      <x:c r="E192" s="9" t="n">
        <x:v>8.75</x:v>
      </x:c>
      <x:c r="F192" s="9" t="n">
        <x:v>7</x:v>
      </x:c>
      <x:c r="G192" s="9" t="n">
        <x:v>6.4285714286</x:v>
      </x:c>
      <x:c r="H192" s="9" t="n">
        <x:v>2.49</x:v>
      </x:c>
      <x:c r="I192" s="9" t="n">
        <x:v>1.4285714286</x:v>
      </x:c>
      <x:c r="J192" s="9" t="n">
        <x:v>9</x:v>
      </x:c>
      <x:c r="K192" s="9" t="n">
        <x:f>ROUND(SUM(C192:J192),2)</x:f>
        <x:v>47.51</x:v>
      </x:c>
      <x:c r="L192" s="1" t="str">
        <x:f>IF(K192&gt;=70,"High",IF(K192&gt;=45,"Medium","Low"))</x:f>
        <x:v>Medium</x:v>
      </x:c>
      <x:c r="M192" s="1"/>
      <x:c r="N192" s="1"/>
      <x:c r="O192" s="1"/>
      <x:c r="P192" s="1"/>
      <x:c r="Q192" s="1"/>
    </x:row>
    <x:row r="193" ht="22" customHeight="1">
      <x:c r="A193" s="1" t="str">
        <x:v>O0111</x:v>
      </x:c>
      <x:c r="B193" s="1" t="str">
        <x:v>Simulated Ahmedabad Management Institute 111</x:v>
      </x:c>
      <x:c r="C193" s="9" t="n">
        <x:v>1.753</x:v>
      </x:c>
      <x:c r="D193" s="9" t="n">
        <x:v>8</x:v>
      </x:c>
      <x:c r="E193" s="9" t="n">
        <x:v>15</x:v>
      </x:c>
      <x:c r="F193" s="9" t="n">
        <x:v>4</x:v>
      </x:c>
      <x:c r="G193" s="9" t="n">
        <x:v>10</x:v>
      </x:c>
      <x:c r="H193" s="9" t="n">
        <x:v>1.32</x:v>
      </x:c>
      <x:c r="I193" s="9" t="n">
        <x:v>0.4285714286</x:v>
      </x:c>
      <x:c r="J193" s="9" t="n">
        <x:v>7</x:v>
      </x:c>
      <x:c r="K193" s="9" t="n">
        <x:f>ROUND(SUM(C193:J193),2)</x:f>
        <x:v>47.5</x:v>
      </x:c>
      <x:c r="L193" s="1" t="str">
        <x:f>IF(K193&gt;=70,"High",IF(K193&gt;=45,"Medium","Low"))</x:f>
        <x:v>Medium</x:v>
      </x:c>
      <x:c r="M193" s="1"/>
      <x:c r="N193" s="1"/>
      <x:c r="O193" s="1"/>
      <x:c r="P193" s="1"/>
      <x:c r="Q193" s="1"/>
    </x:row>
    <x:row r="194" ht="22" customHeight="1">
      <x:c r="A194" s="1" t="str">
        <x:v>O0027</x:v>
      </x:c>
      <x:c r="B194" s="1" t="str">
        <x:v>Simulated Bhubaneswar University 027</x:v>
      </x:c>
      <x:c r="C194" s="9" t="n">
        <x:v>15</x:v>
      </x:c>
      <x:c r="D194" s="9" t="n">
        <x:v>6.5</x:v>
      </x:c>
      <x:c r="E194" s="9" t="n">
        <x:v>5</x:v>
      </x:c>
      <x:c r="F194" s="9" t="n">
        <x:v>10</x:v>
      </x:c>
      <x:c r="G194" s="9" t="n">
        <x:v>0</x:v>
      </x:c>
      <x:c r="H194" s="9" t="n">
        <x:v>4.88</x:v>
      </x:c>
      <x:c r="I194" s="9" t="n">
        <x:v>1.4285714286</x:v>
      </x:c>
      <x:c r="J194" s="9" t="n">
        <x:v>4.6666666667</x:v>
      </x:c>
      <x:c r="K194" s="9" t="n">
        <x:f>ROUND(SUM(C194:J194),2)</x:f>
        <x:v>47.48</x:v>
      </x:c>
      <x:c r="L194" s="1" t="str">
        <x:f>IF(K194&gt;=70,"High",IF(K194&gt;=45,"Medium","Low"))</x:f>
        <x:v>Medium</x:v>
      </x:c>
      <x:c r="M194" s="1"/>
      <x:c r="N194" s="1"/>
      <x:c r="O194" s="1"/>
      <x:c r="P194" s="1"/>
      <x:c r="Q194" s="1"/>
    </x:row>
    <x:row r="195" ht="22" customHeight="1">
      <x:c r="A195" s="1" t="str">
        <x:v>O0373</x:v>
      </x:c>
      <x:c r="B195" s="1" t="str">
        <x:v>Simulated Patna Engineering College 373</x:v>
      </x:c>
      <x:c r="C195" s="9" t="n">
        <x:v>2.297</x:v>
      </x:c>
      <x:c r="D195" s="9" t="n">
        <x:v>6.5</x:v>
      </x:c>
      <x:c r="E195" s="9" t="n">
        <x:v>3.75</x:v>
      </x:c>
      <x:c r="F195" s="9" t="n">
        <x:v>7</x:v>
      </x:c>
      <x:c r="G195" s="9" t="n">
        <x:v>15</x:v>
      </x:c>
      <x:c r="H195" s="9" t="n">
        <x:v>1.93</x:v>
      </x:c>
      <x:c r="I195" s="9" t="n">
        <x:v>1.4285714286</x:v>
      </x:c>
      <x:c r="J195" s="9" t="n">
        <x:v>9.5</x:v>
      </x:c>
      <x:c r="K195" s="9" t="n">
        <x:f>ROUND(SUM(C195:J195),2)</x:f>
        <x:v>47.41</x:v>
      </x:c>
      <x:c r="L195" s="1" t="str">
        <x:f>IF(K195&gt;=70,"High",IF(K195&gt;=45,"Medium","Low"))</x:f>
        <x:v>Medium</x:v>
      </x:c>
      <x:c r="M195" s="1"/>
      <x:c r="N195" s="1"/>
      <x:c r="O195" s="1"/>
      <x:c r="P195" s="1"/>
      <x:c r="Q195" s="1"/>
    </x:row>
    <x:row r="196" ht="22" customHeight="1">
      <x:c r="A196" s="1" t="str">
        <x:v>O0007</x:v>
      </x:c>
      <x:c r="B196" s="1" t="str">
        <x:v>Simulated Jaipur Arts and Science College 007</x:v>
      </x:c>
      <x:c r="C196" s="9" t="n">
        <x:v>0.973</x:v>
      </x:c>
      <x:c r="D196" s="9" t="n">
        <x:v>8</x:v>
      </x:c>
      <x:c r="E196" s="9" t="n">
        <x:v>13.75</x:v>
      </x:c>
      <x:c r="F196" s="9" t="n">
        <x:v>4</x:v>
      </x:c>
      <x:c r="G196" s="9" t="n">
        <x:v>5.4545454545</x:v>
      </x:c>
      <x:c r="H196" s="9" t="n">
        <x:v>1.04</x:v>
      </x:c>
      <x:c r="I196" s="9" t="n">
        <x:v>7.1428571429</x:v>
      </x:c>
      <x:c r="J196" s="9" t="n">
        <x:v>7</x:v>
      </x:c>
      <x:c r="K196" s="9" t="n">
        <x:f>ROUND(SUM(C196:J196),2)</x:f>
        <x:v>47.36</x:v>
      </x:c>
      <x:c r="L196" s="1" t="str">
        <x:f>IF(K196&gt;=70,"High",IF(K196&gt;=45,"Medium","Low"))</x:f>
        <x:v>Medium</x:v>
      </x:c>
      <x:c r="M196" s="1"/>
      <x:c r="N196" s="1"/>
      <x:c r="O196" s="1"/>
      <x:c r="P196" s="1"/>
      <x:c r="Q196" s="1"/>
    </x:row>
    <x:row r="197" ht="22" customHeight="1">
      <x:c r="A197" s="1" t="str">
        <x:v>O0509</x:v>
      </x:c>
      <x:c r="B197" s="1" t="str">
        <x:v>Simulated Guwahati University 509</x:v>
      </x:c>
      <x:c r="C197" s="9" t="n">
        <x:v>2.312</x:v>
      </x:c>
      <x:c r="D197" s="9" t="n">
        <x:v>5.5</x:v>
      </x:c>
      <x:c r="E197" s="9" t="n">
        <x:v>8.75</x:v>
      </x:c>
      <x:c r="F197" s="9" t="n">
        <x:v>7</x:v>
      </x:c>
      <x:c r="G197" s="9" t="n">
        <x:v>10.7142857143</x:v>
      </x:c>
      <x:c r="H197" s="9" t="n">
        <x:v>1.78</x:v>
      </x:c>
      <x:c r="I197" s="9" t="n">
        <x:v>2.5714285714</x:v>
      </x:c>
      <x:c r="J197" s="9" t="n">
        <x:v>8.6666666667</x:v>
      </x:c>
      <x:c r="K197" s="9" t="n">
        <x:f>ROUND(SUM(C197:J197),2)</x:f>
        <x:v>47.29</x:v>
      </x:c>
      <x:c r="L197" s="1" t="str">
        <x:f>IF(K197&gt;=70,"High",IF(K197&gt;=45,"Medium","Low"))</x:f>
        <x:v>Medium</x:v>
      </x:c>
      <x:c r="M197" s="1"/>
      <x:c r="N197" s="1"/>
      <x:c r="O197" s="1"/>
      <x:c r="P197" s="1"/>
      <x:c r="Q197" s="1"/>
    </x:row>
    <x:row r="198" ht="22" customHeight="1">
      <x:c r="A198" s="1" t="str">
        <x:v>O0153</x:v>
      </x:c>
      <x:c r="B198" s="1" t="str">
        <x:v>Simulated Gurugram Management Institute 153</x:v>
      </x:c>
      <x:c r="C198" s="9" t="n">
        <x:v>3.102</x:v>
      </x:c>
      <x:c r="D198" s="9" t="n">
        <x:v>8.5</x:v>
      </x:c>
      <x:c r="E198" s="9" t="n">
        <x:v>5</x:v>
      </x:c>
      <x:c r="F198" s="9" t="n">
        <x:v>7</x:v>
      </x:c>
      <x:c r="G198" s="9" t="n">
        <x:v>7.5</x:v>
      </x:c>
      <x:c r="H198" s="9" t="n">
        <x:v>1.69</x:v>
      </x:c>
      <x:c r="I198" s="9" t="n">
        <x:v>7.1428571429</x:v>
      </x:c>
      <x:c r="J198" s="9" t="n">
        <x:v>7.3333333333</x:v>
      </x:c>
      <x:c r="K198" s="9" t="n">
        <x:f>ROUND(SUM(C198:J198),2)</x:f>
        <x:v>47.27</x:v>
      </x:c>
      <x:c r="L198" s="1" t="str">
        <x:f>IF(K198&gt;=70,"High",IF(K198&gt;=45,"Medium","Low"))</x:f>
        <x:v>Medium</x:v>
      </x:c>
      <x:c r="M198" s="1"/>
      <x:c r="N198" s="1"/>
      <x:c r="O198" s="1"/>
      <x:c r="P198" s="1"/>
      <x:c r="Q198" s="1"/>
    </x:row>
    <x:row r="199" ht="22" customHeight="1">
      <x:c r="A199" s="1" t="str">
        <x:v>O0321</x:v>
      </x:c>
      <x:c r="B199" s="1" t="str">
        <x:v>Simulated Ahmedabad Management Institute 321</x:v>
      </x:c>
      <x:c r="C199" s="9" t="n">
        <x:v>4.599</x:v>
      </x:c>
      <x:c r="D199" s="9" t="n">
        <x:v>8</x:v>
      </x:c>
      <x:c r="E199" s="9" t="n">
        <x:v>6.25</x:v>
      </x:c>
      <x:c r="F199" s="9" t="n">
        <x:v>7</x:v>
      </x:c>
      <x:c r="G199" s="9" t="n">
        <x:v>9</x:v>
      </x:c>
      <x:c r="H199" s="9" t="n">
        <x:v>2.48</x:v>
      </x:c>
      <x:c r="I199" s="9" t="n">
        <x:v>2.5714285714</x:v>
      </x:c>
      <x:c r="J199" s="9" t="n">
        <x:v>7.3333333333</x:v>
      </x:c>
      <x:c r="K199" s="9" t="n">
        <x:f>ROUND(SUM(C199:J199),2)</x:f>
        <x:v>47.23</x:v>
      </x:c>
      <x:c r="L199" s="1" t="str">
        <x:f>IF(K199&gt;=70,"High",IF(K199&gt;=45,"Medium","Low"))</x:f>
        <x:v>Medium</x:v>
      </x:c>
      <x:c r="M199" s="1"/>
      <x:c r="N199" s="1"/>
      <x:c r="O199" s="1"/>
      <x:c r="P199" s="1"/>
      <x:c r="Q199" s="1"/>
    </x:row>
    <x:row r="200" ht="22" customHeight="1">
      <x:c r="A200" s="1" t="str">
        <x:v>O0538</x:v>
      </x:c>
      <x:c r="B200" s="1" t="str">
        <x:v>Simulated Patna Arts and Science College 538</x:v>
      </x:c>
      <x:c r="C200" s="9" t="n">
        <x:v>4.903</x:v>
      </x:c>
      <x:c r="D200" s="9" t="n">
        <x:v>6.5</x:v>
      </x:c>
      <x:c r="E200" s="9" t="n">
        <x:v>15</x:v>
      </x:c>
      <x:c r="F200" s="9" t="n">
        <x:v>7</x:v>
      </x:c>
      <x:c r="G200" s="9" t="n">
        <x:v>7.5</x:v>
      </x:c>
      <x:c r="H200" s="9" t="n">
        <x:v>2.72</x:v>
      </x:c>
      <x:c r="I200" s="9" t="n">
        <x:v>2.5714285714</x:v>
      </x:c>
      <x:c r="J200" s="9" t="n">
        <x:v>0.8333333333</x:v>
      </x:c>
      <x:c r="K200" s="9" t="n">
        <x:f>ROUND(SUM(C200:J200),2)</x:f>
        <x:v>47.03</x:v>
      </x:c>
      <x:c r="L200" s="1" t="str">
        <x:f>IF(K200&gt;=70,"High",IF(K200&gt;=45,"Medium","Low"))</x:f>
        <x:v>Medium</x:v>
      </x:c>
      <x:c r="M200" s="1"/>
      <x:c r="N200" s="1"/>
      <x:c r="O200" s="1"/>
      <x:c r="P200" s="1"/>
      <x:c r="Q200" s="1"/>
    </x:row>
    <x:row r="201" ht="22" customHeight="1">
      <x:c r="A201" s="1" t="str">
        <x:v>O0470</x:v>
      </x:c>
      <x:c r="B201" s="1" t="str">
        <x:v>Simulated Pune Management Institute 470</x:v>
      </x:c>
      <x:c r="C201" s="9" t="n">
        <x:v>5.639</x:v>
      </x:c>
      <x:c r="D201" s="9" t="n">
        <x:v>8</x:v>
      </x:c>
      <x:c r="E201" s="9" t="n">
        <x:v>8.75</x:v>
      </x:c>
      <x:c r="F201" s="9" t="n">
        <x:v>7</x:v>
      </x:c>
      <x:c r="G201" s="9" t="n">
        <x:v>4.2857142857</x:v>
      </x:c>
      <x:c r="H201" s="9" t="n">
        <x:v>2.02</x:v>
      </x:c>
      <x:c r="I201" s="9" t="n">
        <x:v>1.4285714286</x:v>
      </x:c>
      <x:c r="J201" s="9" t="n">
        <x:v>9.8333333333</x:v>
      </x:c>
      <x:c r="K201" s="9" t="n">
        <x:f>ROUND(SUM(C201:J201),2)</x:f>
        <x:v>46.96</x:v>
      </x:c>
      <x:c r="L201" s="1" t="str">
        <x:f>IF(K201&gt;=70,"High",IF(K201&gt;=45,"Medium","Low"))</x:f>
        <x:v>Medium</x:v>
      </x:c>
      <x:c r="M201" s="1"/>
      <x:c r="N201" s="1"/>
      <x:c r="O201" s="1"/>
      <x:c r="P201" s="1"/>
      <x:c r="Q201" s="1"/>
    </x:row>
    <x:row r="202" ht="22" customHeight="1">
      <x:c r="A202" s="1" t="str">
        <x:v>O0386</x:v>
      </x:c>
      <x:c r="B202" s="1" t="str">
        <x:v>Simulated Kolkata Arts and Science College 386</x:v>
      </x:c>
      <x:c r="C202" s="9" t="n">
        <x:v>3.061</x:v>
      </x:c>
      <x:c r="D202" s="9" t="n">
        <x:v>6.5</x:v>
      </x:c>
      <x:c r="E202" s="9" t="n">
        <x:v>7.5</x:v>
      </x:c>
      <x:c r="F202" s="9" t="n">
        <x:v>7</x:v>
      </x:c>
      <x:c r="G202" s="9" t="n">
        <x:v>10</x:v>
      </x:c>
      <x:c r="H202" s="9" t="n">
        <x:v>2.75</x:v>
      </x:c>
      <x:c r="I202" s="9" t="n">
        <x:v>0.4285714286</x:v>
      </x:c>
      <x:c r="J202" s="9" t="n">
        <x:v>9.6666666667</x:v>
      </x:c>
      <x:c r="K202" s="9" t="n">
        <x:f>ROUND(SUM(C202:J202),2)</x:f>
        <x:v>46.91</x:v>
      </x:c>
      <x:c r="L202" s="1" t="str">
        <x:f>IF(K202&gt;=70,"High",IF(K202&gt;=45,"Medium","Low"))</x:f>
        <x:v>Medium</x:v>
      </x:c>
      <x:c r="M202" s="1"/>
      <x:c r="N202" s="1"/>
      <x:c r="O202" s="1"/>
      <x:c r="P202" s="1"/>
      <x:c r="Q202" s="1"/>
    </x:row>
    <x:row r="203" ht="22" customHeight="1">
      <x:c r="A203" s="1" t="str">
        <x:v>O0384</x:v>
      </x:c>
      <x:c r="B203" s="1" t="str">
        <x:v>Simulated Chennai Arts and Science College 384</x:v>
      </x:c>
      <x:c r="C203" s="9" t="n">
        <x:v>5.954</x:v>
      </x:c>
      <x:c r="D203" s="9" t="n">
        <x:v>9</x:v>
      </x:c>
      <x:c r="E203" s="9" t="n">
        <x:v>12.5</x:v>
      </x:c>
      <x:c r="F203" s="9" t="n">
        <x:v>7</x:v>
      </x:c>
      <x:c r="G203" s="9" t="n">
        <x:v>6</x:v>
      </x:c>
      <x:c r="H203" s="9" t="n">
        <x:v>3.18</x:v>
      </x:c>
      <x:c r="I203" s="9" t="n">
        <x:v>1.4285714286</x:v>
      </x:c>
      <x:c r="J203" s="9" t="n">
        <x:v>1.8333333333</x:v>
      </x:c>
      <x:c r="K203" s="9" t="n">
        <x:f>ROUND(SUM(C203:J203),2)</x:f>
        <x:v>46.9</x:v>
      </x:c>
      <x:c r="L203" s="1" t="str">
        <x:f>IF(K203&gt;=70,"High",IF(K203&gt;=45,"Medium","Low"))</x:f>
        <x:v>Medium</x:v>
      </x:c>
      <x:c r="M203" s="1"/>
      <x:c r="N203" s="1"/>
      <x:c r="O203" s="1"/>
      <x:c r="P203" s="1"/>
      <x:c r="Q203" s="1"/>
    </x:row>
    <x:row r="204" ht="22" customHeight="1">
      <x:c r="A204" s="1" t="str">
        <x:v>O0064</x:v>
      </x:c>
      <x:c r="B204" s="1" t="str">
        <x:v>Simulated Ludhiana Management Institute 064</x:v>
      </x:c>
      <x:c r="C204" s="9" t="n">
        <x:v>3.287</x:v>
      </x:c>
      <x:c r="D204" s="9" t="n">
        <x:v>8.5</x:v>
      </x:c>
      <x:c r="E204" s="9" t="n">
        <x:v>5</x:v>
      </x:c>
      <x:c r="F204" s="9" t="n">
        <x:v>7</x:v>
      </x:c>
      <x:c r="G204" s="9" t="n">
        <x:v>11.25</x:v>
      </x:c>
      <x:c r="H204" s="9" t="n">
        <x:v>2.26</x:v>
      </x:c>
      <x:c r="I204" s="9" t="n">
        <x:v>2.5714285714</x:v>
      </x:c>
      <x:c r="J204" s="9" t="n">
        <x:v>7</x:v>
      </x:c>
      <x:c r="K204" s="9" t="n">
        <x:f>ROUND(SUM(C204:J204),2)</x:f>
        <x:v>46.87</x:v>
      </x:c>
      <x:c r="L204" s="1" t="str">
        <x:f>IF(K204&gt;=70,"High",IF(K204&gt;=45,"Medium","Low"))</x:f>
        <x:v>Medium</x:v>
      </x:c>
      <x:c r="M204" s="1"/>
      <x:c r="N204" s="1"/>
      <x:c r="O204" s="1"/>
      <x:c r="P204" s="1"/>
      <x:c r="Q204" s="1"/>
    </x:row>
    <x:row r="205" ht="22" customHeight="1">
      <x:c r="A205" s="1" t="str">
        <x:v>O0383</x:v>
      </x:c>
      <x:c r="B205" s="1" t="str">
        <x:v>Simulated Bengaluru Management Institute 383</x:v>
      </x:c>
      <x:c r="C205" s="9" t="n">
        <x:v>2.054</x:v>
      </x:c>
      <x:c r="D205" s="9" t="n">
        <x:v>9</x:v>
      </x:c>
      <x:c r="E205" s="9" t="n">
        <x:v>5</x:v>
      </x:c>
      <x:c r="F205" s="9" t="n">
        <x:v>7</x:v>
      </x:c>
      <x:c r="G205" s="9" t="n">
        <x:v>11.25</x:v>
      </x:c>
      <x:c r="H205" s="9" t="n">
        <x:v>1.58</x:v>
      </x:c>
      <x:c r="I205" s="9" t="n">
        <x:v>1.4285714286</x:v>
      </x:c>
      <x:c r="J205" s="9" t="n">
        <x:v>9.5</x:v>
      </x:c>
      <x:c r="K205" s="9" t="n">
        <x:f>ROUND(SUM(C205:J205),2)</x:f>
        <x:v>46.81</x:v>
      </x:c>
      <x:c r="L205" s="1" t="str">
        <x:f>IF(K205&gt;=70,"High",IF(K205&gt;=45,"Medium","Low"))</x:f>
        <x:v>Medium</x:v>
      </x:c>
      <x:c r="M205" s="1"/>
      <x:c r="N205" s="1"/>
      <x:c r="O205" s="1"/>
      <x:c r="P205" s="1"/>
      <x:c r="Q205" s="1"/>
    </x:row>
    <x:row r="206" ht="22" customHeight="1">
      <x:c r="A206" s="1" t="str">
        <x:v>O0178</x:v>
      </x:c>
      <x:c r="B206" s="1" t="str">
        <x:v>Simulated Patna University 178</x:v>
      </x:c>
      <x:c r="C206" s="9" t="n">
        <x:v>1.607</x:v>
      </x:c>
      <x:c r="D206" s="9" t="n">
        <x:v>6.5</x:v>
      </x:c>
      <x:c r="E206" s="9" t="n">
        <x:v>13.75</x:v>
      </x:c>
      <x:c r="F206" s="9" t="n">
        <x:v>4</x:v>
      </x:c>
      <x:c r="G206" s="9" t="n">
        <x:v>8.1818181818</x:v>
      </x:c>
      <x:c r="H206" s="9" t="n">
        <x:v>1.5</x:v>
      </x:c>
      <x:c r="I206" s="9" t="n">
        <x:v>1.4285714286</x:v>
      </x:c>
      <x:c r="J206" s="9" t="n">
        <x:v>9.8333333333</x:v>
      </x:c>
      <x:c r="K206" s="9" t="n">
        <x:f>ROUND(SUM(C206:J206),2)</x:f>
        <x:v>46.8</x:v>
      </x:c>
      <x:c r="L206" s="1" t="str">
        <x:f>IF(K206&gt;=70,"High",IF(K206&gt;=45,"Medium","Low"))</x:f>
        <x:v>Medium</x:v>
      </x:c>
      <x:c r="M206" s="1"/>
      <x:c r="N206" s="1"/>
      <x:c r="O206" s="1"/>
      <x:c r="P206" s="1"/>
      <x:c r="Q206" s="1"/>
    </x:row>
    <x:row r="207" ht="22" customHeight="1">
      <x:c r="A207" s="1" t="str">
        <x:v>O0583</x:v>
      </x:c>
      <x:c r="B207" s="1" t="str">
        <x:v>Simulated Patna Engineering College 583</x:v>
      </x:c>
      <x:c r="C207" s="9" t="n">
        <x:v>2.934</x:v>
      </x:c>
      <x:c r="D207" s="9" t="n">
        <x:v>6.5</x:v>
      </x:c>
      <x:c r="E207" s="9" t="n">
        <x:v>8.75</x:v>
      </x:c>
      <x:c r="F207" s="9" t="n">
        <x:v>7</x:v>
      </x:c>
      <x:c r="G207" s="9" t="n">
        <x:v>8.5714285714</x:v>
      </x:c>
      <x:c r="H207" s="9" t="n">
        <x:v>2.44</x:v>
      </x:c>
      <x:c r="I207" s="9" t="n">
        <x:v>1.4285714286</x:v>
      </x:c>
      <x:c r="J207" s="9" t="n">
        <x:v>9.1666666667</x:v>
      </x:c>
      <x:c r="K207" s="9" t="n">
        <x:f>ROUND(SUM(C207:J207),2)</x:f>
        <x:v>46.79</x:v>
      </x:c>
      <x:c r="L207" s="1" t="str">
        <x:f>IF(K207&gt;=70,"High",IF(K207&gt;=45,"Medium","Low"))</x:f>
        <x:v>Medium</x:v>
      </x:c>
      <x:c r="M207" s="1"/>
      <x:c r="N207" s="1"/>
      <x:c r="O207" s="1"/>
      <x:c r="P207" s="1"/>
      <x:c r="Q207" s="1"/>
    </x:row>
    <x:row r="208" ht="22" customHeight="1">
      <x:c r="A208" s="1" t="str">
        <x:v>O0145</x:v>
      </x:c>
      <x:c r="B208" s="1" t="str">
        <x:v>Simulated Hyderabad University 145</x:v>
      </x:c>
      <x:c r="C208" s="9" t="n">
        <x:v>8.891</x:v>
      </x:c>
      <x:c r="D208" s="9" t="n">
        <x:v>9</x:v>
      </x:c>
      <x:c r="E208" s="9" t="n">
        <x:v>3.75</x:v>
      </x:c>
      <x:c r="F208" s="9" t="n">
        <x:v>10</x:v>
      </x:c>
      <x:c r="G208" s="9" t="n">
        <x:v>5</x:v>
      </x:c>
      <x:c r="H208" s="9" t="n">
        <x:v>5.84</x:v>
      </x:c>
      <x:c r="I208" s="9" t="n">
        <x:v>4.2857142857</x:v>
      </x:c>
      <x:c r="J208" s="9" t="n">
        <x:v>0</x:v>
      </x:c>
      <x:c r="K208" s="9" t="n">
        <x:f>ROUND(SUM(C208:J208),2)</x:f>
        <x:v>46.77</x:v>
      </x:c>
      <x:c r="L208" s="1" t="str">
        <x:f>IF(K208&gt;=70,"High",IF(K208&gt;=45,"Medium","Low"))</x:f>
        <x:v>Medium</x:v>
      </x:c>
      <x:c r="M208" s="1"/>
      <x:c r="N208" s="1"/>
      <x:c r="O208" s="1"/>
      <x:c r="P208" s="1"/>
      <x:c r="Q208" s="1"/>
    </x:row>
    <x:row r="209" ht="22" customHeight="1">
      <x:c r="A209" s="1" t="str">
        <x:v>O0139</x:v>
      </x:c>
      <x:c r="B209" s="1" t="str">
        <x:v>Simulated Ludhiana Engineering College 139</x:v>
      </x:c>
      <x:c r="C209" s="9" t="n">
        <x:v>4.751</x:v>
      </x:c>
      <x:c r="D209" s="9" t="n">
        <x:v>8.5</x:v>
      </x:c>
      <x:c r="E209" s="9" t="n">
        <x:v>13.75</x:v>
      </x:c>
      <x:c r="F209" s="9" t="n">
        <x:v>7</x:v>
      </x:c>
      <x:c r="G209" s="9" t="n">
        <x:v>8.1818181818</x:v>
      </x:c>
      <x:c r="H209" s="9" t="n">
        <x:v>3.15</x:v>
      </x:c>
      <x:c r="I209" s="9" t="n">
        <x:v>1.4285714286</x:v>
      </x:c>
      <x:c r="J209" s="9" t="n">
        <x:v>0</x:v>
      </x:c>
      <x:c r="K209" s="9" t="n">
        <x:f>ROUND(SUM(C209:J209),2)</x:f>
        <x:v>46.76</x:v>
      </x:c>
      <x:c r="L209" s="1" t="str">
        <x:f>IF(K209&gt;=70,"High",IF(K209&gt;=45,"Medium","Low"))</x:f>
        <x:v>Medium</x:v>
      </x:c>
      <x:c r="M209" s="1"/>
      <x:c r="N209" s="1"/>
      <x:c r="O209" s="1"/>
      <x:c r="P209" s="1"/>
      <x:c r="Q209" s="1"/>
    </x:row>
    <x:row r="210" ht="22" customHeight="1">
      <x:c r="A210" s="1" t="str">
        <x:v>O0501</x:v>
      </x:c>
      <x:c r="B210" s="1" t="str">
        <x:v>Simulated Ahmedabad Engineering College 501</x:v>
      </x:c>
      <x:c r="C210" s="9" t="n">
        <x:v>2.9</x:v>
      </x:c>
      <x:c r="D210" s="9" t="n">
        <x:v>8</x:v>
      </x:c>
      <x:c r="E210" s="9" t="n">
        <x:v>12.5</x:v>
      </x:c>
      <x:c r="F210" s="9" t="n">
        <x:v>7</x:v>
      </x:c>
      <x:c r="G210" s="9" t="n">
        <x:v>6</x:v>
      </x:c>
      <x:c r="H210" s="9" t="n">
        <x:v>1.56</x:v>
      </x:c>
      <x:c r="I210" s="9" t="n">
        <x:v>0.4285714286</x:v>
      </x:c>
      <x:c r="J210" s="9" t="n">
        <x:v>8.3333333333</x:v>
      </x:c>
      <x:c r="K210" s="9" t="n">
        <x:f>ROUND(SUM(C210:J210),2)</x:f>
        <x:v>46.72</x:v>
      </x:c>
      <x:c r="L210" s="1" t="str">
        <x:f>IF(K210&gt;=70,"High",IF(K210&gt;=45,"Medium","Low"))</x:f>
        <x:v>Medium</x:v>
      </x:c>
      <x:c r="M210" s="1"/>
      <x:c r="N210" s="1"/>
      <x:c r="O210" s="1"/>
      <x:c r="P210" s="1"/>
      <x:c r="Q210" s="1"/>
    </x:row>
    <x:row r="211" ht="22" customHeight="1">
      <x:c r="A211" s="1" t="str">
        <x:v>O0043</x:v>
      </x:c>
      <x:c r="B211" s="1" t="str">
        <x:v>Simulated Patna University 043</x:v>
      </x:c>
      <x:c r="C211" s="9" t="n">
        <x:v>5.234</x:v>
      </x:c>
      <x:c r="D211" s="9" t="n">
        <x:v>6.5</x:v>
      </x:c>
      <x:c r="E211" s="9" t="n">
        <x:v>8.75</x:v>
      </x:c>
      <x:c r="F211" s="9" t="n">
        <x:v>7</x:v>
      </x:c>
      <x:c r="G211" s="9" t="n">
        <x:v>4.2857142857</x:v>
      </x:c>
      <x:c r="H211" s="9" t="n">
        <x:v>4.44</x:v>
      </x:c>
      <x:c r="I211" s="9" t="n">
        <x:v>0.4285714286</x:v>
      </x:c>
      <x:c r="J211" s="9" t="n">
        <x:v>10</x:v>
      </x:c>
      <x:c r="K211" s="9" t="n">
        <x:f>ROUND(SUM(C211:J211),2)</x:f>
        <x:v>46.64</x:v>
      </x:c>
      <x:c r="L211" s="1" t="str">
        <x:f>IF(K211&gt;=70,"High",IF(K211&gt;=45,"Medium","Low"))</x:f>
        <x:v>Medium</x:v>
      </x:c>
      <x:c r="M211" s="1"/>
      <x:c r="N211" s="1"/>
      <x:c r="O211" s="1"/>
      <x:c r="P211" s="1"/>
      <x:c r="Q211" s="1"/>
    </x:row>
    <x:row r="212" ht="22" customHeight="1">
      <x:c r="A212" s="1" t="str">
        <x:v>O0222</x:v>
      </x:c>
      <x:c r="B212" s="1" t="str">
        <x:v>Simulated Bhubaneswar Engineering College 222</x:v>
      </x:c>
      <x:c r="C212" s="9" t="n">
        <x:v>2.966</x:v>
      </x:c>
      <x:c r="D212" s="9" t="n">
        <x:v>6.5</x:v>
      </x:c>
      <x:c r="E212" s="9" t="n">
        <x:v>8.75</x:v>
      </x:c>
      <x:c r="F212" s="9" t="n">
        <x:v>7</x:v>
      </x:c>
      <x:c r="G212" s="9" t="n">
        <x:v>6.4285714286</x:v>
      </x:c>
      <x:c r="H212" s="9" t="n">
        <x:v>2.63</x:v>
      </x:c>
      <x:c r="I212" s="9" t="n">
        <x:v>4.2857142857</x:v>
      </x:c>
      <x:c r="J212" s="9" t="n">
        <x:v>8</x:v>
      </x:c>
      <x:c r="K212" s="9" t="n">
        <x:f>ROUND(SUM(C212:J212),2)</x:f>
        <x:v>46.56</x:v>
      </x:c>
      <x:c r="L212" s="1" t="str">
        <x:f>IF(K212&gt;=70,"High",IF(K212&gt;=45,"Medium","Low"))</x:f>
        <x:v>Medium</x:v>
      </x:c>
      <x:c r="M212" s="1"/>
      <x:c r="N212" s="1"/>
      <x:c r="O212" s="1"/>
      <x:c r="P212" s="1"/>
      <x:c r="Q212" s="1"/>
    </x:row>
    <x:row r="213" ht="22" customHeight="1">
      <x:c r="A213" s="1" t="str">
        <x:v>O0100</x:v>
      </x:c>
      <x:c r="B213" s="1" t="str">
        <x:v>Simulated Hyderabad Engineering College 100</x:v>
      </x:c>
      <x:c r="C213" s="9" t="n">
        <x:v>4.129</x:v>
      </x:c>
      <x:c r="D213" s="9" t="n">
        <x:v>9</x:v>
      </x:c>
      <x:c r="E213" s="9" t="n">
        <x:v>3.75</x:v>
      </x:c>
      <x:c r="F213" s="9" t="n">
        <x:v>7</x:v>
      </x:c>
      <x:c r="G213" s="9" t="n">
        <x:v>10</x:v>
      </x:c>
      <x:c r="H213" s="9" t="n">
        <x:v>2.13</x:v>
      </x:c>
      <x:c r="I213" s="9" t="n">
        <x:v>0.4285714286</x:v>
      </x:c>
      <x:c r="J213" s="9" t="n">
        <x:v>9.8333333333</x:v>
      </x:c>
      <x:c r="K213" s="9" t="n">
        <x:f>ROUND(SUM(C213:J213),2)</x:f>
        <x:v>46.27</x:v>
      </x:c>
      <x:c r="L213" s="1" t="str">
        <x:f>IF(K213&gt;=70,"High",IF(K213&gt;=45,"Medium","Low"))</x:f>
        <x:v>Medium</x:v>
      </x:c>
      <x:c r="M213" s="1"/>
      <x:c r="N213" s="1"/>
      <x:c r="O213" s="1"/>
      <x:c r="P213" s="1"/>
      <x:c r="Q213" s="1"/>
    </x:row>
    <x:row r="214" ht="22" customHeight="1">
      <x:c r="A214" s="1" t="str">
        <x:v>O0328</x:v>
      </x:c>
      <x:c r="B214" s="1" t="str">
        <x:v>Simulated Patna Arts and Science College 328</x:v>
      </x:c>
      <x:c r="C214" s="9" t="n">
        <x:v>3.684</x:v>
      </x:c>
      <x:c r="D214" s="9" t="n">
        <x:v>6.5</x:v>
      </x:c>
      <x:c r="E214" s="9" t="n">
        <x:v>13.75</x:v>
      </x:c>
      <x:c r="F214" s="9" t="n">
        <x:v>7</x:v>
      </x:c>
      <x:c r="G214" s="9" t="n">
        <x:v>5.4545454545</x:v>
      </x:c>
      <x:c r="H214" s="9" t="n">
        <x:v>2.14</x:v>
      </x:c>
      <x:c r="I214" s="9" t="n">
        <x:v>2.5714285714</x:v>
      </x:c>
      <x:c r="J214" s="9" t="n">
        <x:v>5.1666666667</x:v>
      </x:c>
      <x:c r="K214" s="9" t="n">
        <x:f>ROUND(SUM(C214:J214),2)</x:f>
        <x:v>46.27</x:v>
      </x:c>
      <x:c r="L214" s="1" t="str">
        <x:f>IF(K214&gt;=70,"High",IF(K214&gt;=45,"Medium","Low"))</x:f>
        <x:v>Medium</x:v>
      </x:c>
      <x:c r="M214" s="1"/>
      <x:c r="N214" s="1"/>
      <x:c r="O214" s="1"/>
      <x:c r="P214" s="1"/>
      <x:c r="Q214" s="1"/>
    </x:row>
    <x:row r="215" ht="22" customHeight="1">
      <x:c r="A215" s="1" t="str">
        <x:v>O0082</x:v>
      </x:c>
      <x:c r="B215" s="1" t="str">
        <x:v>Simulated Jaipur University 082</x:v>
      </x:c>
      <x:c r="C215" s="9" t="n">
        <x:v>3.195</x:v>
      </x:c>
      <x:c r="D215" s="9" t="n">
        <x:v>8</x:v>
      </x:c>
      <x:c r="E215" s="9" t="n">
        <x:v>5</x:v>
      </x:c>
      <x:c r="F215" s="9" t="n">
        <x:v>7</x:v>
      </x:c>
      <x:c r="G215" s="9" t="n">
        <x:v>11.25</x:v>
      </x:c>
      <x:c r="H215" s="9" t="n">
        <x:v>1.47</x:v>
      </x:c>
      <x:c r="I215" s="9" t="n">
        <x:v>0.4285714286</x:v>
      </x:c>
      <x:c r="J215" s="9" t="n">
        <x:v>9.8333333333</x:v>
      </x:c>
      <x:c r="K215" s="9" t="n">
        <x:f>ROUND(SUM(C215:J215),2)</x:f>
        <x:v>46.18</x:v>
      </x:c>
      <x:c r="L215" s="1" t="str">
        <x:f>IF(K215&gt;=70,"High",IF(K215&gt;=45,"Medium","Low"))</x:f>
        <x:v>Medium</x:v>
      </x:c>
      <x:c r="M215" s="1"/>
      <x:c r="N215" s="1"/>
      <x:c r="O215" s="1"/>
      <x:c r="P215" s="1"/>
      <x:c r="Q215" s="1"/>
    </x:row>
    <x:row r="216" ht="22" customHeight="1">
      <x:c r="A216" s="1" t="str">
        <x:v>O0108</x:v>
      </x:c>
      <x:c r="B216" s="1" t="str">
        <x:v>Simulated Gurugram Engineering College 108</x:v>
      </x:c>
      <x:c r="C216" s="9" t="n">
        <x:v>2.53</x:v>
      </x:c>
      <x:c r="D216" s="9" t="n">
        <x:v>8.5</x:v>
      </x:c>
      <x:c r="E216" s="9" t="n">
        <x:v>3.75</x:v>
      </x:c>
      <x:c r="F216" s="9" t="n">
        <x:v>7</x:v>
      </x:c>
      <x:c r="G216" s="9" t="n">
        <x:v>10</x:v>
      </x:c>
      <x:c r="H216" s="9" t="n">
        <x:v>2.07</x:v>
      </x:c>
      <x:c r="I216" s="9" t="n">
        <x:v>7.1428571429</x:v>
      </x:c>
      <x:c r="J216" s="9" t="n">
        <x:v>5</x:v>
      </x:c>
      <x:c r="K216" s="9" t="n">
        <x:f>ROUND(SUM(C216:J216),2)</x:f>
        <x:v>45.99</x:v>
      </x:c>
      <x:c r="L216" s="1" t="str">
        <x:f>IF(K216&gt;=70,"High",IF(K216&gt;=45,"Medium","Low"))</x:f>
        <x:v>Medium</x:v>
      </x:c>
      <x:c r="M216" s="1"/>
      <x:c r="N216" s="1"/>
      <x:c r="O216" s="1"/>
      <x:c r="P216" s="1"/>
      <x:c r="Q216" s="1"/>
    </x:row>
    <x:row r="217" ht="22" customHeight="1">
      <x:c r="A217" s="1" t="str">
        <x:v>O0454</x:v>
      </x:c>
      <x:c r="B217" s="1" t="str">
        <x:v>Simulated Ludhiana Engineering College 454</x:v>
      </x:c>
      <x:c r="C217" s="9" t="n">
        <x:v>3.329</x:v>
      </x:c>
      <x:c r="D217" s="9" t="n">
        <x:v>8.5</x:v>
      </x:c>
      <x:c r="E217" s="9" t="n">
        <x:v>8.75</x:v>
      </x:c>
      <x:c r="F217" s="9" t="n">
        <x:v>7</x:v>
      </x:c>
      <x:c r="G217" s="9" t="n">
        <x:v>8.5714285714</x:v>
      </x:c>
      <x:c r="H217" s="9" t="n">
        <x:v>3.08</x:v>
      </x:c>
      <x:c r="I217" s="9" t="n">
        <x:v>1.4285714286</x:v>
      </x:c>
      <x:c r="J217" s="9" t="n">
        <x:v>5.3333333333</x:v>
      </x:c>
      <x:c r="K217" s="9" t="n">
        <x:f>ROUND(SUM(C217:J217),2)</x:f>
        <x:v>45.99</x:v>
      </x:c>
      <x:c r="L217" s="1" t="str">
        <x:f>IF(K217&gt;=70,"High",IF(K217&gt;=45,"Medium","Low"))</x:f>
        <x:v>Medium</x:v>
      </x:c>
      <x:c r="M217" s="1"/>
      <x:c r="N217" s="1"/>
      <x:c r="O217" s="1"/>
      <x:c r="P217" s="1"/>
      <x:c r="Q217" s="1"/>
    </x:row>
    <x:row r="218" ht="22" customHeight="1">
      <x:c r="A218" s="1" t="str">
        <x:v>O0381</x:v>
      </x:c>
      <x:c r="B218" s="1" t="str">
        <x:v>Simulated Ahmedabad Engineering College 381</x:v>
      </x:c>
      <x:c r="C218" s="9" t="n">
        <x:v>1.082</x:v>
      </x:c>
      <x:c r="D218" s="9" t="n">
        <x:v>8</x:v>
      </x:c>
      <x:c r="E218" s="9" t="n">
        <x:v>15</x:v>
      </x:c>
      <x:c r="F218" s="9" t="n">
        <x:v>4</x:v>
      </x:c>
      <x:c r="G218" s="9" t="n">
        <x:v>6.25</x:v>
      </x:c>
      <x:c r="H218" s="9" t="n">
        <x:v>1.22</x:v>
      </x:c>
      <x:c r="I218" s="9" t="n">
        <x:v>0.4285714286</x:v>
      </x:c>
      <x:c r="J218" s="9" t="n">
        <x:v>10</x:v>
      </x:c>
      <x:c r="K218" s="9" t="n">
        <x:f>ROUND(SUM(C218:J218),2)</x:f>
        <x:v>45.98</x:v>
      </x:c>
      <x:c r="L218" s="1" t="str">
        <x:f>IF(K218&gt;=70,"High",IF(K218&gt;=45,"Medium","Low"))</x:f>
        <x:v>Medium</x:v>
      </x:c>
      <x:c r="M218" s="1"/>
      <x:c r="N218" s="1"/>
      <x:c r="O218" s="1"/>
      <x:c r="P218" s="1"/>
      <x:c r="Q218" s="1"/>
    </x:row>
    <x:row r="219" ht="22" customHeight="1">
      <x:c r="A219" s="1" t="str">
        <x:v>O0018</x:v>
      </x:c>
      <x:c r="B219" s="1" t="str">
        <x:v>Simulated Gurugram University 018</x:v>
      </x:c>
      <x:c r="C219" s="9" t="n">
        <x:v>3.376</x:v>
      </x:c>
      <x:c r="D219" s="9" t="n">
        <x:v>8.5</x:v>
      </x:c>
      <x:c r="E219" s="9" t="n">
        <x:v>6.25</x:v>
      </x:c>
      <x:c r="F219" s="9" t="n">
        <x:v>7</x:v>
      </x:c>
      <x:c r="G219" s="9" t="n">
        <x:v>9</x:v>
      </x:c>
      <x:c r="H219" s="9" t="n">
        <x:v>1.52</x:v>
      </x:c>
      <x:c r="I219" s="9" t="n">
        <x:v>0.4285714286</x:v>
      </x:c>
      <x:c r="J219" s="9" t="n">
        <x:v>9.8333333333</x:v>
      </x:c>
      <x:c r="K219" s="9" t="n">
        <x:f>ROUND(SUM(C219:J219),2)</x:f>
        <x:v>45.91</x:v>
      </x:c>
      <x:c r="L219" s="1" t="str">
        <x:f>IF(K219&gt;=70,"High",IF(K219&gt;=45,"Medium","Low"))</x:f>
        <x:v>Medium</x:v>
      </x:c>
      <x:c r="M219" s="1"/>
      <x:c r="N219" s="1"/>
      <x:c r="O219" s="1"/>
      <x:c r="P219" s="1"/>
      <x:c r="Q219" s="1"/>
    </x:row>
    <x:row r="220" ht="22" customHeight="1">
      <x:c r="A220" s="1" t="str">
        <x:v>O0142</x:v>
      </x:c>
      <x:c r="B220" s="1" t="str">
        <x:v>Simulated Jaipur University 142</x:v>
      </x:c>
      <x:c r="C220" s="9" t="n">
        <x:v>2.744</x:v>
      </x:c>
      <x:c r="D220" s="9" t="n">
        <x:v>8</x:v>
      </x:c>
      <x:c r="E220" s="9" t="n">
        <x:v>6.25</x:v>
      </x:c>
      <x:c r="F220" s="9" t="n">
        <x:v>7</x:v>
      </x:c>
      <x:c r="G220" s="9" t="n">
        <x:v>12</x:v>
      </x:c>
      <x:c r="H220" s="9" t="n">
        <x:v>2.61</x:v>
      </x:c>
      <x:c r="I220" s="9" t="n">
        <x:v>0.4285714286</x:v>
      </x:c>
      <x:c r="J220" s="9" t="n">
        <x:v>6.8333333333</x:v>
      </x:c>
      <x:c r="K220" s="9" t="n">
        <x:f>ROUND(SUM(C220:J220),2)</x:f>
        <x:v>45.87</x:v>
      </x:c>
      <x:c r="L220" s="1" t="str">
        <x:f>IF(K220&gt;=70,"High",IF(K220&gt;=45,"Medium","Low"))</x:f>
        <x:v>Medium</x:v>
      </x:c>
      <x:c r="M220" s="1"/>
      <x:c r="N220" s="1"/>
      <x:c r="O220" s="1"/>
      <x:c r="P220" s="1"/>
      <x:c r="Q220" s="1"/>
    </x:row>
    <x:row r="221" ht="22" customHeight="1">
      <x:c r="A221" s="1" t="str">
        <x:v>O0090</x:v>
      </x:c>
      <x:c r="B221" s="1" t="str">
        <x:v>Simulated Indore Management Institute 090</x:v>
      </x:c>
      <x:c r="C221" s="9" t="n">
        <x:v>1.824</x:v>
      </x:c>
      <x:c r="D221" s="9" t="n">
        <x:v>6.5</x:v>
      </x:c>
      <x:c r="E221" s="9" t="n">
        <x:v>15</x:v>
      </x:c>
      <x:c r="F221" s="9" t="n">
        <x:v>4</x:v>
      </x:c>
      <x:c r="G221" s="9" t="n">
        <x:v>10</x:v>
      </x:c>
      <x:c r="H221" s="9" t="n">
        <x:v>1.39</x:v>
      </x:c>
      <x:c r="I221" s="9" t="n">
        <x:v>7.1428571429</x:v>
      </x:c>
      <x:c r="J221" s="9" t="n">
        <x:v>0</x:v>
      </x:c>
      <x:c r="K221" s="9" t="n">
        <x:f>ROUND(SUM(C221:J221),2)</x:f>
        <x:v>45.86</x:v>
      </x:c>
      <x:c r="L221" s="1" t="str">
        <x:f>IF(K221&gt;=70,"High",IF(K221&gt;=45,"Medium","Low"))</x:f>
        <x:v>Medium</x:v>
      </x:c>
      <x:c r="M221" s="1"/>
      <x:c r="N221" s="1"/>
      <x:c r="O221" s="1"/>
      <x:c r="P221" s="1"/>
      <x:c r="Q221" s="1"/>
    </x:row>
    <x:row r="222" ht="22" customHeight="1">
      <x:c r="A222" s="1" t="str">
        <x:v>O0030</x:v>
      </x:c>
      <x:c r="B222" s="1" t="str">
        <x:v>Simulated Indore Management Institute 030</x:v>
      </x:c>
      <x:c r="C222" s="9" t="n">
        <x:v>0.688</x:v>
      </x:c>
      <x:c r="D222" s="9" t="n">
        <x:v>6.5</x:v>
      </x:c>
      <x:c r="E222" s="9" t="n">
        <x:v>12.5</x:v>
      </x:c>
      <x:c r="F222" s="9" t="n">
        <x:v>4</x:v>
      </x:c>
      <x:c r="G222" s="9" t="n">
        <x:v>9</x:v>
      </x:c>
      <x:c r="H222" s="9" t="n">
        <x:v>1.21</x:v>
      </x:c>
      <x:c r="I222" s="9" t="n">
        <x:v>4.2857142857</x:v>
      </x:c>
      <x:c r="J222" s="9" t="n">
        <x:v>7.6666666667</x:v>
      </x:c>
      <x:c r="K222" s="9" t="n">
        <x:f>ROUND(SUM(C222:J222),2)</x:f>
        <x:v>45.85</x:v>
      </x:c>
      <x:c r="L222" s="1" t="str">
        <x:f>IF(K222&gt;=70,"High",IF(K222&gt;=45,"Medium","Low"))</x:f>
        <x:v>Medium</x:v>
      </x:c>
      <x:c r="M222" s="1"/>
      <x:c r="N222" s="1"/>
      <x:c r="O222" s="1"/>
      <x:c r="P222" s="1"/>
      <x:c r="Q222" s="1"/>
    </x:row>
    <x:row r="223" ht="22" customHeight="1">
      <x:c r="A223" s="1" t="str">
        <x:v>O0592</x:v>
      </x:c>
      <x:c r="B223" s="1" t="str">
        <x:v>Simulated Jaipur Management Institute 592</x:v>
      </x:c>
      <x:c r="C223" s="9" t="n">
        <x:v>3.631</x:v>
      </x:c>
      <x:c r="D223" s="9" t="n">
        <x:v>8</x:v>
      </x:c>
      <x:c r="E223" s="9" t="n">
        <x:v>8.75</x:v>
      </x:c>
      <x:c r="F223" s="9" t="n">
        <x:v>7</x:v>
      </x:c>
      <x:c r="G223" s="9" t="n">
        <x:v>4.2857142857</x:v>
      </x:c>
      <x:c r="H223" s="9" t="n">
        <x:v>1.56</x:v>
      </x:c>
      <x:c r="I223" s="9" t="n">
        <x:v>4.2857142857</x:v>
      </x:c>
      <x:c r="J223" s="9" t="n">
        <x:v>8.3333333333</x:v>
      </x:c>
      <x:c r="K223" s="9" t="n">
        <x:f>ROUND(SUM(C223:J223),2)</x:f>
        <x:v>45.85</x:v>
      </x:c>
      <x:c r="L223" s="1" t="str">
        <x:f>IF(K223&gt;=70,"High",IF(K223&gt;=45,"Medium","Low"))</x:f>
        <x:v>Medium</x:v>
      </x:c>
      <x:c r="M223" s="1"/>
      <x:c r="N223" s="1"/>
      <x:c r="O223" s="1"/>
      <x:c r="P223" s="1"/>
      <x:c r="Q223" s="1"/>
    </x:row>
    <x:row r="224" ht="22" customHeight="1">
      <x:c r="A224" s="1" t="str">
        <x:v>O0379</x:v>
      </x:c>
      <x:c r="B224" s="1" t="str">
        <x:v>Simulated Ludhiana Management Institute 379</x:v>
      </x:c>
      <x:c r="C224" s="9" t="n">
        <x:v>4.157</x:v>
      </x:c>
      <x:c r="D224" s="9" t="n">
        <x:v>8.5</x:v>
      </x:c>
      <x:c r="E224" s="9" t="n">
        <x:v>6.25</x:v>
      </x:c>
      <x:c r="F224" s="9" t="n">
        <x:v>7</x:v>
      </x:c>
      <x:c r="G224" s="9" t="n">
        <x:v>6</x:v>
      </x:c>
      <x:c r="H224" s="9" t="n">
        <x:v>3.65</x:v>
      </x:c>
      <x:c r="I224" s="9" t="n">
        <x:v>0.4285714286</x:v>
      </x:c>
      <x:c r="J224" s="9" t="n">
        <x:v>9.8333333333</x:v>
      </x:c>
      <x:c r="K224" s="9" t="n">
        <x:f>ROUND(SUM(C224:J224),2)</x:f>
        <x:v>45.82</x:v>
      </x:c>
      <x:c r="L224" s="1" t="str">
        <x:f>IF(K224&gt;=70,"High",IF(K224&gt;=45,"Medium","Low"))</x:f>
        <x:v>Medium</x:v>
      </x:c>
      <x:c r="M224" s="1"/>
      <x:c r="N224" s="1"/>
      <x:c r="O224" s="1"/>
      <x:c r="P224" s="1"/>
      <x:c r="Q224" s="1"/>
    </x:row>
    <x:row r="225" ht="22" customHeight="1">
      <x:c r="A225" s="1" t="str">
        <x:v>O0540</x:v>
      </x:c>
      <x:c r="B225" s="1" t="str">
        <x:v>Simulated Indore Arts and Science College 540</x:v>
      </x:c>
      <x:c r="C225" s="9" t="n">
        <x:v>2.274</x:v>
      </x:c>
      <x:c r="D225" s="9" t="n">
        <x:v>6.5</x:v>
      </x:c>
      <x:c r="E225" s="9" t="n">
        <x:v>6.25</x:v>
      </x:c>
      <x:c r="F225" s="9" t="n">
        <x:v>7</x:v>
      </x:c>
      <x:c r="G225" s="9" t="n">
        <x:v>6</x:v>
      </x:c>
      <x:c r="H225" s="9" t="n">
        <x:v>2.31</x:v>
      </x:c>
      <x:c r="I225" s="9" t="n">
        <x:v>7.1428571429</x:v>
      </x:c>
      <x:c r="J225" s="9" t="n">
        <x:v>8.3333333333</x:v>
      </x:c>
      <x:c r="K225" s="9" t="n">
        <x:f>ROUND(SUM(C225:J225),2)</x:f>
        <x:v>45.81</x:v>
      </x:c>
      <x:c r="L225" s="1" t="str">
        <x:f>IF(K225&gt;=70,"High",IF(K225&gt;=45,"Medium","Low"))</x:f>
        <x:v>Medium</x:v>
      </x:c>
      <x:c r="M225" s="1"/>
      <x:c r="N225" s="1"/>
      <x:c r="O225" s="1"/>
      <x:c r="P225" s="1"/>
      <x:c r="Q225" s="1"/>
    </x:row>
    <x:row r="226" ht="22" customHeight="1">
      <x:c r="A226" s="1" t="str">
        <x:v>O0564</x:v>
      </x:c>
      <x:c r="B226" s="1" t="str">
        <x:v>Simulated Chennai Management Institute 564</x:v>
      </x:c>
      <x:c r="C226" s="9" t="n">
        <x:v>3.232</x:v>
      </x:c>
      <x:c r="D226" s="9" t="n">
        <x:v>9</x:v>
      </x:c>
      <x:c r="E226" s="9" t="n">
        <x:v>5</x:v>
      </x:c>
      <x:c r="F226" s="9" t="n">
        <x:v>7</x:v>
      </x:c>
      <x:c r="G226" s="9" t="n">
        <x:v>3.75</x:v>
      </x:c>
      <x:c r="H226" s="9" t="n">
        <x:v>2.61</x:v>
      </x:c>
      <x:c r="I226" s="9" t="n">
        <x:v>7.1428571429</x:v>
      </x:c>
      <x:c r="J226" s="9" t="n">
        <x:v>8</x:v>
      </x:c>
      <x:c r="K226" s="9" t="n">
        <x:f>ROUND(SUM(C226:J226),2)</x:f>
        <x:v>45.73</x:v>
      </x:c>
      <x:c r="L226" s="1" t="str">
        <x:f>IF(K226&gt;=70,"High",IF(K226&gt;=45,"Medium","Low"))</x:f>
        <x:v>Medium</x:v>
      </x:c>
      <x:c r="M226" s="1"/>
      <x:c r="N226" s="1"/>
      <x:c r="O226" s="1"/>
      <x:c r="P226" s="1"/>
      <x:c r="Q226" s="1"/>
    </x:row>
    <x:row r="227" ht="22" customHeight="1">
      <x:c r="A227" s="1" t="str">
        <x:v>O0221</x:v>
      </x:c>
      <x:c r="B227" s="1" t="str">
        <x:v>Simulated Kolkata University 221</x:v>
      </x:c>
      <x:c r="C227" s="9" t="n">
        <x:v>15</x:v>
      </x:c>
      <x:c r="D227" s="9" t="n">
        <x:v>6.5</x:v>
      </x:c>
      <x:c r="E227" s="9" t="n">
        <x:v>3.75</x:v>
      </x:c>
      <x:c r="F227" s="9" t="n">
        <x:v>10</x:v>
      </x:c>
      <x:c r="G227" s="9" t="n">
        <x:v>5</x:v>
      </x:c>
      <x:c r="H227" s="9" t="n">
        <x:v>5</x:v>
      </x:c>
      <x:c r="I227" s="9" t="n">
        <x:v>0.4285714286</x:v>
      </x:c>
      <x:c r="J227" s="9" t="n">
        <x:v>0</x:v>
      </x:c>
      <x:c r="K227" s="9" t="n">
        <x:f>ROUND(SUM(C227:J227),2)</x:f>
        <x:v>45.68</x:v>
      </x:c>
      <x:c r="L227" s="1" t="str">
        <x:f>IF(K227&gt;=70,"High",IF(K227&gt;=45,"Medium","Low"))</x:f>
        <x:v>Medium</x:v>
      </x:c>
      <x:c r="M227" s="1"/>
      <x:c r="N227" s="1"/>
      <x:c r="O227" s="1"/>
      <x:c r="P227" s="1"/>
      <x:c r="Q227" s="1"/>
    </x:row>
    <x:row r="228" ht="22" customHeight="1">
      <x:c r="A228" s="1" t="str">
        <x:v>O0333</x:v>
      </x:c>
      <x:c r="B228" s="1" t="str">
        <x:v>Simulated Gurugram Management Institute 333</x:v>
      </x:c>
      <x:c r="C228" s="9" t="n">
        <x:v>4.487</x:v>
      </x:c>
      <x:c r="D228" s="9" t="n">
        <x:v>8.5</x:v>
      </x:c>
      <x:c r="E228" s="9" t="n">
        <x:v>7.5</x:v>
      </x:c>
      <x:c r="F228" s="9" t="n">
        <x:v>7</x:v>
      </x:c>
      <x:c r="G228" s="9" t="n">
        <x:v>7.5</x:v>
      </x:c>
      <x:c r="H228" s="9" t="n">
        <x:v>2.6</x:v>
      </x:c>
      <x:c r="I228" s="9" t="n">
        <x:v>1.4285714286</x:v>
      </x:c>
      <x:c r="J228" s="9" t="n">
        <x:v>6.6666666667</x:v>
      </x:c>
      <x:c r="K228" s="9" t="n">
        <x:f>ROUND(SUM(C228:J228),2)</x:f>
        <x:v>45.68</x:v>
      </x:c>
      <x:c r="L228" s="1" t="str">
        <x:f>IF(K228&gt;=70,"High",IF(K228&gt;=45,"Medium","Low"))</x:f>
        <x:v>Medium</x:v>
      </x:c>
      <x:c r="M228" s="1"/>
      <x:c r="N228" s="1"/>
      <x:c r="O228" s="1"/>
      <x:c r="P228" s="1"/>
      <x:c r="Q228" s="1"/>
    </x:row>
    <x:row r="229" ht="22" customHeight="1">
      <x:c r="A229" s="1" t="str">
        <x:v>O0202</x:v>
      </x:c>
      <x:c r="B229" s="1" t="str">
        <x:v>Simulated Jaipur Management Institute 202</x:v>
      </x:c>
      <x:c r="C229" s="9" t="n">
        <x:v>3.372</x:v>
      </x:c>
      <x:c r="D229" s="9" t="n">
        <x:v>8</x:v>
      </x:c>
      <x:c r="E229" s="9" t="n">
        <x:v>13.75</x:v>
      </x:c>
      <x:c r="F229" s="9" t="n">
        <x:v>7</x:v>
      </x:c>
      <x:c r="G229" s="9" t="n">
        <x:v>10.9090909091</x:v>
      </x:c>
      <x:c r="H229" s="9" t="n">
        <x:v>2.2</x:v>
      </x:c>
      <x:c r="I229" s="9" t="n">
        <x:v>0.4285714286</x:v>
      </x:c>
      <x:c r="J229" s="9" t="n">
        <x:v>0</x:v>
      </x:c>
      <x:c r="K229" s="9" t="n">
        <x:f>ROUND(SUM(C229:J229),2)</x:f>
        <x:v>45.66</x:v>
      </x:c>
      <x:c r="L229" s="1" t="str">
        <x:f>IF(K229&gt;=70,"High",IF(K229&gt;=45,"Medium","Low"))</x:f>
        <x:v>Medium</x:v>
      </x:c>
      <x:c r="M229" s="1"/>
      <x:c r="N229" s="1"/>
      <x:c r="O229" s="1"/>
      <x:c r="P229" s="1"/>
      <x:c r="Q229" s="1"/>
    </x:row>
    <x:row r="230" ht="22" customHeight="1">
      <x:c r="A230" s="1" t="str">
        <x:v>O0185</x:v>
      </x:c>
      <x:c r="B230" s="1" t="str">
        <x:v>Simulated Pune University 185</x:v>
      </x:c>
      <x:c r="C230" s="9" t="n">
        <x:v>1.092</x:v>
      </x:c>
      <x:c r="D230" s="9" t="n">
        <x:v>8</x:v>
      </x:c>
      <x:c r="E230" s="9" t="n">
        <x:v>11.25</x:v>
      </x:c>
      <x:c r="F230" s="9" t="n">
        <x:v>4</x:v>
      </x:c>
      <x:c r="G230" s="9" t="n">
        <x:v>10</x:v>
      </x:c>
      <x:c r="H230" s="9" t="n">
        <x:v>1.14</x:v>
      </x:c>
      <x:c r="I230" s="9" t="n">
        <x:v>0.4285714286</x:v>
      </x:c>
      <x:c r="J230" s="9" t="n">
        <x:v>9.6666666667</x:v>
      </x:c>
      <x:c r="K230" s="9" t="n">
        <x:f>ROUND(SUM(C230:J230),2)</x:f>
        <x:v>45.58</x:v>
      </x:c>
      <x:c r="L230" s="1" t="str">
        <x:f>IF(K230&gt;=70,"High",IF(K230&gt;=45,"Medium","Low"))</x:f>
        <x:v>Medium</x:v>
      </x:c>
      <x:c r="M230" s="1"/>
      <x:c r="N230" s="1"/>
      <x:c r="O230" s="1"/>
      <x:c r="P230" s="1"/>
      <x:c r="Q230" s="1"/>
    </x:row>
    <x:row r="231" ht="22" customHeight="1">
      <x:c r="A231" s="1" t="str">
        <x:v>O0585</x:v>
      </x:c>
      <x:c r="B231" s="1" t="str">
        <x:v>Simulated Indore Management Institute 585</x:v>
      </x:c>
      <x:c r="C231" s="9" t="n">
        <x:v>4.761</x:v>
      </x:c>
      <x:c r="D231" s="9" t="n">
        <x:v>6.5</x:v>
      </x:c>
      <x:c r="E231" s="9" t="n">
        <x:v>8.75</x:v>
      </x:c>
      <x:c r="F231" s="9" t="n">
        <x:v>7</x:v>
      </x:c>
      <x:c r="G231" s="9" t="n">
        <x:v>2.1428571429</x:v>
      </x:c>
      <x:c r="H231" s="9" t="n">
        <x:v>3.09</x:v>
      </x:c>
      <x:c r="I231" s="9" t="n">
        <x:v>10</x:v>
      </x:c>
      <x:c r="J231" s="9" t="n">
        <x:v>3.3333333333</x:v>
      </x:c>
      <x:c r="K231" s="9" t="n">
        <x:f>ROUND(SUM(C231:J231),2)</x:f>
        <x:v>45.58</x:v>
      </x:c>
      <x:c r="L231" s="1" t="str">
        <x:f>IF(K231&gt;=70,"High",IF(K231&gt;=45,"Medium","Low"))</x:f>
        <x:v>Medium</x:v>
      </x:c>
      <x:c r="M231" s="1"/>
      <x:c r="N231" s="1"/>
      <x:c r="O231" s="1"/>
      <x:c r="P231" s="1"/>
      <x:c r="Q231" s="1"/>
    </x:row>
    <x:row r="232" ht="22" customHeight="1">
      <x:c r="A232" s="1" t="str">
        <x:v>O0191</x:v>
      </x:c>
      <x:c r="B232" s="1" t="str">
        <x:v>Simulated Kolkata Arts and Science College 191</x:v>
      </x:c>
      <x:c r="C232" s="9" t="n">
        <x:v>0.909</x:v>
      </x:c>
      <x:c r="D232" s="9" t="n">
        <x:v>6.5</x:v>
      </x:c>
      <x:c r="E232" s="9" t="n">
        <x:v>12.5</x:v>
      </x:c>
      <x:c r="F232" s="9" t="n">
        <x:v>4</x:v>
      </x:c>
      <x:c r="G232" s="9" t="n">
        <x:v>9</x:v>
      </x:c>
      <x:c r="H232" s="9" t="n">
        <x:v>1.28</x:v>
      </x:c>
      <x:c r="I232" s="9" t="n">
        <x:v>2.5714285714</x:v>
      </x:c>
      <x:c r="J232" s="9" t="n">
        <x:v>8.6666666667</x:v>
      </x:c>
      <x:c r="K232" s="9" t="n">
        <x:f>ROUND(SUM(C232:J232),2)</x:f>
        <x:v>45.43</x:v>
      </x:c>
      <x:c r="L232" s="1" t="str">
        <x:f>IF(K232&gt;=70,"High",IF(K232&gt;=45,"Medium","Low"))</x:f>
        <x:v>Medium</x:v>
      </x:c>
      <x:c r="M232" s="1"/>
      <x:c r="N232" s="1"/>
      <x:c r="O232" s="1"/>
      <x:c r="P232" s="1"/>
      <x:c r="Q232" s="1"/>
    </x:row>
    <x:row r="233" ht="22" customHeight="1">
      <x:c r="A233" s="1" t="str">
        <x:v>O0012</x:v>
      </x:c>
      <x:c r="B233" s="1" t="str">
        <x:v>Simulated Bhubaneswar Management Institute 012</x:v>
      </x:c>
      <x:c r="C233" s="9" t="n">
        <x:v>4.343</x:v>
      </x:c>
      <x:c r="D233" s="9" t="n">
        <x:v>6.5</x:v>
      </x:c>
      <x:c r="E233" s="9" t="n">
        <x:v>7.5</x:v>
      </x:c>
      <x:c r="F233" s="9" t="n">
        <x:v>7</x:v>
      </x:c>
      <x:c r="G233" s="9" t="n">
        <x:v>7.5</x:v>
      </x:c>
      <x:c r="H233" s="9" t="n">
        <x:v>3.5</x:v>
      </x:c>
      <x:c r="I233" s="9" t="n">
        <x:v>2.5714285714</x:v>
      </x:c>
      <x:c r="J233" s="9" t="n">
        <x:v>6.5</x:v>
      </x:c>
      <x:c r="K233" s="9" t="n">
        <x:f>ROUND(SUM(C233:J233),2)</x:f>
        <x:v>45.41</x:v>
      </x:c>
      <x:c r="L233" s="1" t="str">
        <x:f>IF(K233&gt;=70,"High",IF(K233&gt;=45,"Medium","Low"))</x:f>
        <x:v>Medium</x:v>
      </x:c>
      <x:c r="M233" s="1"/>
      <x:c r="N233" s="1"/>
      <x:c r="O233" s="1"/>
      <x:c r="P233" s="1"/>
      <x:c r="Q233" s="1"/>
    </x:row>
    <x:row r="234" ht="22" customHeight="1">
      <x:c r="A234" s="1" t="str">
        <x:v>O0103</x:v>
      </x:c>
      <x:c r="B234" s="1" t="str">
        <x:v>Simulated Patna Engineering College 103</x:v>
      </x:c>
      <x:c r="C234" s="9" t="n">
        <x:v>1.565</x:v>
      </x:c>
      <x:c r="D234" s="9" t="n">
        <x:v>6.5</x:v>
      </x:c>
      <x:c r="E234" s="9" t="n">
        <x:v>10</x:v>
      </x:c>
      <x:c r="F234" s="9" t="n">
        <x:v>4</x:v>
      </x:c>
      <x:c r="G234" s="9" t="n">
        <x:v>5.625</x:v>
      </x:c>
      <x:c r="H234" s="9" t="n">
        <x:v>1.7</x:v>
      </x:c>
      <x:c r="I234" s="9" t="n">
        <x:v>7.1428571429</x:v>
      </x:c>
      <x:c r="J234" s="9" t="n">
        <x:v>8.8333333333</x:v>
      </x:c>
      <x:c r="K234" s="9" t="n">
        <x:f>ROUND(SUM(C234:J234),2)</x:f>
        <x:v>45.37</x:v>
      </x:c>
      <x:c r="L234" s="1" t="str">
        <x:f>IF(K234&gt;=70,"High",IF(K234&gt;=45,"Medium","Low"))</x:f>
        <x:v>Medium</x:v>
      </x:c>
      <x:c r="M234" s="1"/>
      <x:c r="N234" s="1"/>
      <x:c r="O234" s="1"/>
      <x:c r="P234" s="1"/>
      <x:c r="Q234" s="1"/>
    </x:row>
    <x:row r="235" ht="22" customHeight="1">
      <x:c r="A235" s="1" t="str">
        <x:v>O0268</x:v>
      </x:c>
      <x:c r="B235" s="1" t="str">
        <x:v>Simulated Patna Management Institute 268</x:v>
      </x:c>
      <x:c r="C235" s="9" t="n">
        <x:v>4.012</x:v>
      </x:c>
      <x:c r="D235" s="9" t="n">
        <x:v>6.5</x:v>
      </x:c>
      <x:c r="E235" s="9" t="n">
        <x:v>7.5</x:v>
      </x:c>
      <x:c r="F235" s="9" t="n">
        <x:v>7</x:v>
      </x:c>
      <x:c r="G235" s="9" t="n">
        <x:v>7.5</x:v>
      </x:c>
      <x:c r="H235" s="9" t="n">
        <x:v>2.89</x:v>
      </x:c>
      <x:c r="I235" s="9" t="n">
        <x:v>0.4285714286</x:v>
      </x:c>
      <x:c r="J235" s="9" t="n">
        <x:v>9.5</x:v>
      </x:c>
      <x:c r="K235" s="9" t="n">
        <x:f>ROUND(SUM(C235:J235),2)</x:f>
        <x:v>45.33</x:v>
      </x:c>
      <x:c r="L235" s="1" t="str">
        <x:f>IF(K235&gt;=70,"High",IF(K235&gt;=45,"Medium","Low"))</x:f>
        <x:v>Medium</x:v>
      </x:c>
      <x:c r="M235" s="1"/>
      <x:c r="N235" s="1"/>
      <x:c r="O235" s="1"/>
      <x:c r="P235" s="1"/>
      <x:c r="Q235" s="1"/>
    </x:row>
    <x:row r="236" ht="22" customHeight="1">
      <x:c r="A236" s="1" t="str">
        <x:v>O0415</x:v>
      </x:c>
      <x:c r="B236" s="1" t="str">
        <x:v>Simulated Hyderabad Arts and Science College 415</x:v>
      </x:c>
      <x:c r="C236" s="9" t="n">
        <x:v>5.404</x:v>
      </x:c>
      <x:c r="D236" s="9" t="n">
        <x:v>9</x:v>
      </x:c>
      <x:c r="E236" s="9" t="n">
        <x:v>5</x:v>
      </x:c>
      <x:c r="F236" s="9" t="n">
        <x:v>7</x:v>
      </x:c>
      <x:c r="G236" s="9" t="n">
        <x:v>11.25</x:v>
      </x:c>
      <x:c r="H236" s="9" t="n">
        <x:v>2.96</x:v>
      </x:c>
      <x:c r="I236" s="9" t="n">
        <x:v>0.4285714286</x:v>
      </x:c>
      <x:c r="J236" s="9" t="n">
        <x:v>4.1666666667</x:v>
      </x:c>
      <x:c r="K236" s="9" t="n">
        <x:f>ROUND(SUM(C236:J236),2)</x:f>
        <x:v>45.21</x:v>
      </x:c>
      <x:c r="L236" s="1" t="str">
        <x:f>IF(K236&gt;=70,"High",IF(K236&gt;=45,"Medium","Low"))</x:f>
        <x:v>Medium</x:v>
      </x:c>
      <x:c r="M236" s="1"/>
      <x:c r="N236" s="1"/>
      <x:c r="O236" s="1"/>
      <x:c r="P236" s="1"/>
      <x:c r="Q236" s="1"/>
    </x:row>
    <x:row r="237" ht="22" customHeight="1">
      <x:c r="A237" s="1" t="str">
        <x:v>O0441</x:v>
      </x:c>
      <x:c r="B237" s="1" t="str">
        <x:v>Simulated Ahmedabad Management Institute 441</x:v>
      </x:c>
      <x:c r="C237" s="9" t="n">
        <x:v>4.97</x:v>
      </x:c>
      <x:c r="D237" s="9" t="n">
        <x:v>8</x:v>
      </x:c>
      <x:c r="E237" s="9" t="n">
        <x:v>6.25</x:v>
      </x:c>
      <x:c r="F237" s="9" t="n">
        <x:v>7</x:v>
      </x:c>
      <x:c r="G237" s="9" t="n">
        <x:v>12</x:v>
      </x:c>
      <x:c r="H237" s="9" t="n">
        <x:v>2.68</x:v>
      </x:c>
      <x:c r="I237" s="9" t="n">
        <x:v>4.2857142857</x:v>
      </x:c>
      <x:c r="J237" s="9" t="n">
        <x:v>0</x:v>
      </x:c>
      <x:c r="K237" s="9" t="n">
        <x:f>ROUND(SUM(C237:J237),2)</x:f>
        <x:v>45.19</x:v>
      </x:c>
      <x:c r="L237" s="1" t="str">
        <x:f>IF(K237&gt;=70,"High",IF(K237&gt;=45,"Medium","Low"))</x:f>
        <x:v>Medium</x:v>
      </x:c>
      <x:c r="M237" s="1"/>
      <x:c r="N237" s="1"/>
      <x:c r="O237" s="1"/>
      <x:c r="P237" s="1"/>
      <x:c r="Q237" s="1"/>
    </x:row>
    <x:row r="238" ht="22" customHeight="1">
      <x:c r="A238" s="1" t="str">
        <x:v>O0385</x:v>
      </x:c>
      <x:c r="B238" s="1" t="str">
        <x:v>Simulated Hyderabad Arts and Science College 385</x:v>
      </x:c>
      <x:c r="C238" s="9" t="n">
        <x:v>1.518</x:v>
      </x:c>
      <x:c r="D238" s="9" t="n">
        <x:v>9</x:v>
      </x:c>
      <x:c r="E238" s="9" t="n">
        <x:v>11.25</x:v>
      </x:c>
      <x:c r="F238" s="9" t="n">
        <x:v>4</x:v>
      </x:c>
      <x:c r="G238" s="9" t="n">
        <x:v>8.3333333333</x:v>
      </x:c>
      <x:c r="H238" s="9" t="n">
        <x:v>1.3</x:v>
      </x:c>
      <x:c r="I238" s="9" t="n">
        <x:v>0.4285714286</x:v>
      </x:c>
      <x:c r="J238" s="9" t="n">
        <x:v>9.3333333333</x:v>
      </x:c>
      <x:c r="K238" s="9" t="n">
        <x:f>ROUND(SUM(C238:J238),2)</x:f>
        <x:v>45.16</x:v>
      </x:c>
      <x:c r="L238" s="1" t="str">
        <x:f>IF(K238&gt;=70,"High",IF(K238&gt;=45,"Medium","Low"))</x:f>
        <x:v>Medium</x:v>
      </x:c>
      <x:c r="M238" s="1"/>
      <x:c r="N238" s="1"/>
      <x:c r="O238" s="1"/>
      <x:c r="P238" s="1"/>
      <x:c r="Q238" s="1"/>
    </x:row>
    <x:row r="239" ht="22" customHeight="1">
      <x:c r="A239" s="1" t="str">
        <x:v>O0084</x:v>
      </x:c>
      <x:c r="B239" s="1" t="str">
        <x:v>Simulated Chennai Management Institute 084</x:v>
      </x:c>
      <x:c r="C239" s="9" t="n">
        <x:v>1.897</x:v>
      </x:c>
      <x:c r="D239" s="9" t="n">
        <x:v>9</x:v>
      </x:c>
      <x:c r="E239" s="9" t="n">
        <x:v>5</x:v>
      </x:c>
      <x:c r="F239" s="9" t="n">
        <x:v>4</x:v>
      </x:c>
      <x:c r="G239" s="9" t="n">
        <x:v>11.25</x:v>
      </x:c>
      <x:c r="H239" s="9" t="n">
        <x:v>1.93</x:v>
      </x:c>
      <x:c r="I239" s="9" t="n">
        <x:v>2.5714285714</x:v>
      </x:c>
      <x:c r="J239" s="9" t="n">
        <x:v>9.5</x:v>
      </x:c>
      <x:c r="K239" s="9" t="n">
        <x:f>ROUND(SUM(C239:J239),2)</x:f>
        <x:v>45.15</x:v>
      </x:c>
      <x:c r="L239" s="1" t="str">
        <x:f>IF(K239&gt;=70,"High",IF(K239&gt;=45,"Medium","Low"))</x:f>
        <x:v>Medium</x:v>
      </x:c>
      <x:c r="M239" s="1"/>
      <x:c r="N239" s="1"/>
      <x:c r="O239" s="1"/>
      <x:c r="P239" s="1"/>
      <x:c r="Q239" s="1"/>
    </x:row>
    <x:row r="240" ht="22" customHeight="1">
      <x:c r="A240" s="1" t="str">
        <x:v>O0374</x:v>
      </x:c>
      <x:c r="B240" s="1" t="str">
        <x:v>Simulated Guwahati Management Institute 374</x:v>
      </x:c>
      <x:c r="C240" s="9" t="n">
        <x:v>2.604</x:v>
      </x:c>
      <x:c r="D240" s="9" t="n">
        <x:v>5.5</x:v>
      </x:c>
      <x:c r="E240" s="9" t="n">
        <x:v>12.5</x:v>
      </x:c>
      <x:c r="F240" s="9" t="n">
        <x:v>7</x:v>
      </x:c>
      <x:c r="G240" s="9" t="n">
        <x:v>10.5</x:v>
      </x:c>
      <x:c r="H240" s="9" t="n">
        <x:v>1.37</x:v>
      </x:c>
      <x:c r="I240" s="9" t="n">
        <x:v>2.5714285714</x:v>
      </x:c>
      <x:c r="J240" s="9" t="n">
        <x:v>3</x:v>
      </x:c>
      <x:c r="K240" s="9" t="n">
        <x:f>ROUND(SUM(C240:J240),2)</x:f>
        <x:v>45.05</x:v>
      </x:c>
      <x:c r="L240" s="1" t="str">
        <x:f>IF(K240&gt;=70,"High",IF(K240&gt;=45,"Medium","Low"))</x:f>
        <x:v>Medium</x:v>
      </x:c>
      <x:c r="M240" s="1"/>
      <x:c r="N240" s="1"/>
      <x:c r="O240" s="1"/>
      <x:c r="P240" s="1"/>
      <x:c r="Q240" s="1"/>
    </x:row>
    <x:row r="241" ht="22" customHeight="1">
      <x:c r="A241" s="1" t="str">
        <x:v>O0083</x:v>
      </x:c>
      <x:c r="B241" s="1" t="str">
        <x:v>Simulated Bengaluru Arts and Science College 083</x:v>
      </x:c>
      <x:c r="C241" s="9" t="n">
        <x:v>2.51</x:v>
      </x:c>
      <x:c r="D241" s="9" t="n">
        <x:v>9</x:v>
      </x:c>
      <x:c r="E241" s="9" t="n">
        <x:v>8.75</x:v>
      </x:c>
      <x:c r="F241" s="9" t="n">
        <x:v>7</x:v>
      </x:c>
      <x:c r="G241" s="9" t="n">
        <x:v>4.2857142857</x:v>
      </x:c>
      <x:c r="H241" s="9" t="n">
        <x:v>1.92</x:v>
      </x:c>
      <x:c r="I241" s="9" t="n">
        <x:v>1.4285714286</x:v>
      </x:c>
      <x:c r="J241" s="9" t="n">
        <x:v>10</x:v>
      </x:c>
      <x:c r="K241" s="9" t="n">
        <x:f>ROUND(SUM(C241:J241),2)</x:f>
        <x:v>44.89</x:v>
      </x:c>
      <x:c r="L241" s="1" t="str">
        <x:f>IF(K241&gt;=70,"High",IF(K241&gt;=45,"Medium","Low"))</x:f>
        <x:v>Low</x:v>
      </x:c>
      <x:c r="M241" s="1"/>
      <x:c r="N241" s="1"/>
      <x:c r="O241" s="1"/>
      <x:c r="P241" s="1"/>
      <x:c r="Q241" s="1"/>
    </x:row>
    <x:row r="242" ht="22" customHeight="1">
      <x:c r="A242" s="1" t="str">
        <x:v>O0414</x:v>
      </x:c>
      <x:c r="B242" s="1" t="str">
        <x:v>Simulated Chennai Arts and Science College 414</x:v>
      </x:c>
      <x:c r="C242" s="9" t="n">
        <x:v>1.787</x:v>
      </x:c>
      <x:c r="D242" s="9" t="n">
        <x:v>9</x:v>
      </x:c>
      <x:c r="E242" s="9" t="n">
        <x:v>11.25</x:v>
      </x:c>
      <x:c r="F242" s="9" t="n">
        <x:v>4</x:v>
      </x:c>
      <x:c r="G242" s="9" t="n">
        <x:v>10</x:v>
      </x:c>
      <x:c r="H242" s="9" t="n">
        <x:v>1.39</x:v>
      </x:c>
      <x:c r="I242" s="9" t="n">
        <x:v>4.2857142857</x:v>
      </x:c>
      <x:c r="J242" s="9" t="n">
        <x:v>3.1666666667</x:v>
      </x:c>
      <x:c r="K242" s="9" t="n">
        <x:f>ROUND(SUM(C242:J242),2)</x:f>
        <x:v>44.88</x:v>
      </x:c>
      <x:c r="L242" s="1" t="str">
        <x:f>IF(K242&gt;=70,"High",IF(K242&gt;=45,"Medium","Low"))</x:f>
        <x:v>Low</x:v>
      </x:c>
      <x:c r="M242" s="1"/>
      <x:c r="N242" s="1"/>
      <x:c r="O242" s="1"/>
      <x:c r="P242" s="1"/>
      <x:c r="Q242" s="1"/>
    </x:row>
    <x:row r="243" ht="22" customHeight="1">
      <x:c r="A243" s="1" t="str">
        <x:v>O0516</x:v>
      </x:c>
      <x:c r="B243" s="1" t="str">
        <x:v>Simulated Ahmedabad Management Institute 516</x:v>
      </x:c>
      <x:c r="C243" s="9" t="n">
        <x:v>5.68</x:v>
      </x:c>
      <x:c r="D243" s="9" t="n">
        <x:v>8</x:v>
      </x:c>
      <x:c r="E243" s="9" t="n">
        <x:v>7.5</x:v>
      </x:c>
      <x:c r="F243" s="9" t="n">
        <x:v>7</x:v>
      </x:c>
      <x:c r="G243" s="9" t="n">
        <x:v>0</x:v>
      </x:c>
      <x:c r="H243" s="9" t="n">
        <x:v>2.8</x:v>
      </x:c>
      <x:c r="I243" s="9" t="n">
        <x:v>4.2857142857</x:v>
      </x:c>
      <x:c r="J243" s="9" t="n">
        <x:v>9.5</x:v>
      </x:c>
      <x:c r="K243" s="9" t="n">
        <x:f>ROUND(SUM(C243:J243),2)</x:f>
        <x:v>44.77</x:v>
      </x:c>
      <x:c r="L243" s="1" t="str">
        <x:f>IF(K243&gt;=70,"High",IF(K243&gt;=45,"Medium","Low"))</x:f>
        <x:v>Low</x:v>
      </x:c>
      <x:c r="M243" s="1"/>
      <x:c r="N243" s="1"/>
      <x:c r="O243" s="1"/>
      <x:c r="P243" s="1"/>
      <x:c r="Q243" s="1"/>
    </x:row>
    <x:row r="244" ht="22" customHeight="1">
      <x:c r="A244" s="1" t="str">
        <x:v>O0387</x:v>
      </x:c>
      <x:c r="B244" s="1" t="str">
        <x:v>Simulated Bhubaneswar Management Institute 387</x:v>
      </x:c>
      <x:c r="C244" s="9" t="n">
        <x:v>2.34</x:v>
      </x:c>
      <x:c r="D244" s="9" t="n">
        <x:v>6.5</x:v>
      </x:c>
      <x:c r="E244" s="9" t="n">
        <x:v>5</x:v>
      </x:c>
      <x:c r="F244" s="9" t="n">
        <x:v>7</x:v>
      </x:c>
      <x:c r="G244" s="9" t="n">
        <x:v>11.25</x:v>
      </x:c>
      <x:c r="H244" s="9" t="n">
        <x:v>1.38</x:v>
      </x:c>
      <x:c r="I244" s="9" t="n">
        <x:v>4.2857142857</x:v>
      </x:c>
      <x:c r="J244" s="9" t="n">
        <x:v>7</x:v>
      </x:c>
      <x:c r="K244" s="9" t="n">
        <x:f>ROUND(SUM(C244:J244),2)</x:f>
        <x:v>44.76</x:v>
      </x:c>
      <x:c r="L244" s="1" t="str">
        <x:f>IF(K244&gt;=70,"High",IF(K244&gt;=45,"Medium","Low"))</x:f>
        <x:v>Low</x:v>
      </x:c>
      <x:c r="M244" s="1"/>
      <x:c r="N244" s="1"/>
      <x:c r="O244" s="1"/>
      <x:c r="P244" s="1"/>
      <x:c r="Q244" s="1"/>
    </x:row>
    <x:row r="245" ht="22" customHeight="1">
      <x:c r="A245" s="1" t="str">
        <x:v>O0372</x:v>
      </x:c>
      <x:c r="B245" s="1" t="str">
        <x:v>Simulated Bhubaneswar University 372</x:v>
      </x:c>
      <x:c r="C245" s="9" t="n">
        <x:v>5.156</x:v>
      </x:c>
      <x:c r="D245" s="9" t="n">
        <x:v>6.5</x:v>
      </x:c>
      <x:c r="E245" s="9" t="n">
        <x:v>6.25</x:v>
      </x:c>
      <x:c r="F245" s="9" t="n">
        <x:v>7</x:v>
      </x:c>
      <x:c r="G245" s="9" t="n">
        <x:v>6</x:v>
      </x:c>
      <x:c r="H245" s="9" t="n">
        <x:v>4.36</x:v>
      </x:c>
      <x:c r="I245" s="9" t="n">
        <x:v>1.4285714286</x:v>
      </x:c>
      <x:c r="J245" s="9" t="n">
        <x:v>8</x:v>
      </x:c>
      <x:c r="K245" s="9" t="n">
        <x:f>ROUND(SUM(C245:J245),2)</x:f>
        <x:v>44.69</x:v>
      </x:c>
      <x:c r="L245" s="1" t="str">
        <x:f>IF(K245&gt;=70,"High",IF(K245&gt;=45,"Medium","Low"))</x:f>
        <x:v>Low</x:v>
      </x:c>
      <x:c r="M245" s="1"/>
      <x:c r="N245" s="1"/>
      <x:c r="O245" s="1"/>
      <x:c r="P245" s="1"/>
      <x:c r="Q245" s="1"/>
    </x:row>
    <x:row r="246" ht="22" customHeight="1">
      <x:c r="A246" s="1" t="str">
        <x:v>O0297</x:v>
      </x:c>
      <x:c r="B246" s="1" t="str">
        <x:v>Simulated Bhubaneswar Management Institute 297</x:v>
      </x:c>
      <x:c r="C246" s="9" t="n">
        <x:v>0.243</x:v>
      </x:c>
      <x:c r="D246" s="9" t="n">
        <x:v>6.5</x:v>
      </x:c>
      <x:c r="E246" s="9" t="n">
        <x:v>13.75</x:v>
      </x:c>
      <x:c r="F246" s="9" t="n">
        <x:v>4</x:v>
      </x:c>
      <x:c r="G246" s="9" t="n">
        <x:v>6.8181818182</x:v>
      </x:c>
      <x:c r="H246" s="9" t="n">
        <x:v>0.92</x:v>
      </x:c>
      <x:c r="I246" s="9" t="n">
        <x:v>4.2857142857</x:v>
      </x:c>
      <x:c r="J246" s="9" t="n">
        <x:v>8.1666666667</x:v>
      </x:c>
      <x:c r="K246" s="9" t="n">
        <x:f>ROUND(SUM(C246:J246),2)</x:f>
        <x:v>44.68</x:v>
      </x:c>
      <x:c r="L246" s="1" t="str">
        <x:f>IF(K246&gt;=70,"High",IF(K246&gt;=45,"Medium","Low"))</x:f>
        <x:v>Low</x:v>
      </x:c>
      <x:c r="M246" s="1"/>
      <x:c r="N246" s="1"/>
      <x:c r="O246" s="1"/>
      <x:c r="P246" s="1"/>
      <x:c r="Q246" s="1"/>
    </x:row>
    <x:row r="247" ht="22" customHeight="1">
      <x:c r="A247" s="1" t="str">
        <x:v>O0105</x:v>
      </x:c>
      <x:c r="B247" s="1" t="str">
        <x:v>Simulated Indore University 105</x:v>
      </x:c>
      <x:c r="C247" s="9" t="n">
        <x:v>2.808</x:v>
      </x:c>
      <x:c r="D247" s="9" t="n">
        <x:v>6.5</x:v>
      </x:c>
      <x:c r="E247" s="9" t="n">
        <x:v>5</x:v>
      </x:c>
      <x:c r="F247" s="9" t="n">
        <x:v>7</x:v>
      </x:c>
      <x:c r="G247" s="9" t="n">
        <x:v>11.25</x:v>
      </x:c>
      <x:c r="H247" s="9" t="n">
        <x:v>1.9</x:v>
      </x:c>
      <x:c r="I247" s="9" t="n">
        <x:v>1.4285714286</x:v>
      </x:c>
      <x:c r="J247" s="9" t="n">
        <x:v>8.6666666667</x:v>
      </x:c>
      <x:c r="K247" s="9" t="n">
        <x:f>ROUND(SUM(C247:J247),2)</x:f>
        <x:v>44.55</x:v>
      </x:c>
      <x:c r="L247" s="1" t="str">
        <x:f>IF(K247&gt;=70,"High",IF(K247&gt;=45,"Medium","Low"))</x:f>
        <x:v>Low</x:v>
      </x:c>
      <x:c r="M247" s="1"/>
      <x:c r="N247" s="1"/>
      <x:c r="O247" s="1"/>
      <x:c r="P247" s="1"/>
      <x:c r="Q247" s="1"/>
    </x:row>
    <x:row r="248" ht="22" customHeight="1">
      <x:c r="A248" s="1" t="str">
        <x:v>O0377</x:v>
      </x:c>
      <x:c r="B248" s="1" t="str">
        <x:v>Simulated Noida Management Institute 377</x:v>
      </x:c>
      <x:c r="C248" s="9" t="n">
        <x:v>0.531</x:v>
      </x:c>
      <x:c r="D248" s="9" t="n">
        <x:v>8.5</x:v>
      </x:c>
      <x:c r="E248" s="9" t="n">
        <x:v>5</x:v>
      </x:c>
      <x:c r="F248" s="9" t="n">
        <x:v>4</x:v>
      </x:c>
      <x:c r="G248" s="9" t="n">
        <x:v>15</x:v>
      </x:c>
      <x:c r="H248" s="9" t="n">
        <x:v>1</x:v>
      </x:c>
      <x:c r="I248" s="9" t="n">
        <x:v>0.4285714286</x:v>
      </x:c>
      <x:c r="J248" s="9" t="n">
        <x:v>10</x:v>
      </x:c>
      <x:c r="K248" s="9" t="n">
        <x:f>ROUND(SUM(C248:J248),2)</x:f>
        <x:v>44.46</x:v>
      </x:c>
      <x:c r="L248" s="1" t="str">
        <x:f>IF(K248&gt;=70,"High",IF(K248&gt;=45,"Medium","Low"))</x:f>
        <x:v>Low</x:v>
      </x:c>
      <x:c r="M248" s="1"/>
      <x:c r="N248" s="1"/>
      <x:c r="O248" s="1"/>
      <x:c r="P248" s="1"/>
      <x:c r="Q248" s="1"/>
    </x:row>
    <x:row r="249" ht="22" customHeight="1">
      <x:c r="A249" s="1" t="str">
        <x:v>O0574</x:v>
      </x:c>
      <x:c r="B249" s="1" t="str">
        <x:v>Simulated Ludhiana Management Institute 574</x:v>
      </x:c>
      <x:c r="C249" s="9" t="n">
        <x:v>1.818</x:v>
      </x:c>
      <x:c r="D249" s="9" t="n">
        <x:v>8.5</x:v>
      </x:c>
      <x:c r="E249" s="9" t="n">
        <x:v>11.25</x:v>
      </x:c>
      <x:c r="F249" s="9" t="n">
        <x:v>4</x:v>
      </x:c>
      <x:c r="G249" s="9" t="n">
        <x:v>8.3333333333</x:v>
      </x:c>
      <x:c r="H249" s="9" t="n">
        <x:v>1.61</x:v>
      </x:c>
      <x:c r="I249" s="9" t="n">
        <x:v>1.4285714286</x:v>
      </x:c>
      <x:c r="J249" s="9" t="n">
        <x:v>7.5</x:v>
      </x:c>
      <x:c r="K249" s="9" t="n">
        <x:f>ROUND(SUM(C249:J249),2)</x:f>
        <x:v>44.44</x:v>
      </x:c>
      <x:c r="L249" s="1" t="str">
        <x:f>IF(K249&gt;=70,"High",IF(K249&gt;=45,"Medium","Low"))</x:f>
        <x:v>Low</x:v>
      </x:c>
      <x:c r="M249" s="1"/>
      <x:c r="N249" s="1"/>
      <x:c r="O249" s="1"/>
      <x:c r="P249" s="1"/>
      <x:c r="Q249" s="1"/>
    </x:row>
    <x:row r="250" ht="22" customHeight="1">
      <x:c r="A250" s="1" t="str">
        <x:v>O0096</x:v>
      </x:c>
      <x:c r="B250" s="1" t="str">
        <x:v>Simulated Ahmedabad Engineering College 096</x:v>
      </x:c>
      <x:c r="C250" s="9" t="n">
        <x:v>2.461</x:v>
      </x:c>
      <x:c r="D250" s="9" t="n">
        <x:v>8</x:v>
      </x:c>
      <x:c r="E250" s="9" t="n">
        <x:v>12.5</x:v>
      </x:c>
      <x:c r="F250" s="9" t="n">
        <x:v>7</x:v>
      </x:c>
      <x:c r="G250" s="9" t="n">
        <x:v>7.5</x:v>
      </x:c>
      <x:c r="H250" s="9" t="n">
        <x:v>2.18</x:v>
      </x:c>
      <x:c r="I250" s="9" t="n">
        <x:v>0.4285714286</x:v>
      </x:c>
      <x:c r="J250" s="9" t="n">
        <x:v>4.1666666667</x:v>
      </x:c>
      <x:c r="K250" s="9" t="n">
        <x:f>ROUND(SUM(C250:J250),2)</x:f>
        <x:v>44.24</x:v>
      </x:c>
      <x:c r="L250" s="1" t="str">
        <x:f>IF(K250&gt;=70,"High",IF(K250&gt;=45,"Medium","Low"))</x:f>
        <x:v>Low</x:v>
      </x:c>
      <x:c r="M250" s="1"/>
      <x:c r="N250" s="1"/>
      <x:c r="O250" s="1"/>
      <x:c r="P250" s="1"/>
      <x:c r="Q250" s="1"/>
    </x:row>
    <x:row r="251" ht="22" customHeight="1">
      <x:c r="A251" s="1" t="str">
        <x:v>O0500</x:v>
      </x:c>
      <x:c r="B251" s="1" t="str">
        <x:v>Simulated Pune Engineering College 500</x:v>
      </x:c>
      <x:c r="C251" s="9" t="n">
        <x:v>0.481</x:v>
      </x:c>
      <x:c r="D251" s="9" t="n">
        <x:v>8</x:v>
      </x:c>
      <x:c r="E251" s="9" t="n">
        <x:v>10</x:v>
      </x:c>
      <x:c r="F251" s="9" t="n">
        <x:v>4</x:v>
      </x:c>
      <x:c r="G251" s="9" t="n">
        <x:v>9.375</x:v>
      </x:c>
      <x:c r="H251" s="9" t="n">
        <x:v>1.02</x:v>
      </x:c>
      <x:c r="I251" s="9" t="n">
        <x:v>1.4285714286</x:v>
      </x:c>
      <x:c r="J251" s="9" t="n">
        <x:v>9.8333333333</x:v>
      </x:c>
      <x:c r="K251" s="9" t="n">
        <x:f>ROUND(SUM(C251:J251),2)</x:f>
        <x:v>44.14</x:v>
      </x:c>
      <x:c r="L251" s="1" t="str">
        <x:f>IF(K251&gt;=70,"High",IF(K251&gt;=45,"Medium","Low"))</x:f>
        <x:v>Low</x:v>
      </x:c>
      <x:c r="M251" s="1"/>
      <x:c r="N251" s="1"/>
      <x:c r="O251" s="1"/>
      <x:c r="P251" s="1"/>
      <x:c r="Q251" s="1"/>
    </x:row>
    <x:row r="252" ht="22" customHeight="1">
      <x:c r="A252" s="1" t="str">
        <x:v>O0318</x:v>
      </x:c>
      <x:c r="B252" s="1" t="str">
        <x:v>Simulated Gurugram Arts and Science College 318</x:v>
      </x:c>
      <x:c r="C252" s="9" t="n">
        <x:v>5.918</x:v>
      </x:c>
      <x:c r="D252" s="9" t="n">
        <x:v>8.5</x:v>
      </x:c>
      <x:c r="E252" s="9" t="n">
        <x:v>6.25</x:v>
      </x:c>
      <x:c r="F252" s="9" t="n">
        <x:v>7</x:v>
      </x:c>
      <x:c r="G252" s="9" t="n">
        <x:v>9</x:v>
      </x:c>
      <x:c r="H252" s="9" t="n">
        <x:v>4.28</x:v>
      </x:c>
      <x:c r="I252" s="9" t="n">
        <x:v>1.4285714286</x:v>
      </x:c>
      <x:c r="J252" s="9" t="n">
        <x:v>1.6666666667</x:v>
      </x:c>
      <x:c r="K252" s="9" t="n">
        <x:f>ROUND(SUM(C252:J252),2)</x:f>
        <x:v>44.04</x:v>
      </x:c>
      <x:c r="L252" s="1" t="str">
        <x:f>IF(K252&gt;=70,"High",IF(K252&gt;=45,"Medium","Low"))</x:f>
        <x:v>Low</x:v>
      </x:c>
      <x:c r="M252" s="1"/>
      <x:c r="N252" s="1"/>
      <x:c r="O252" s="1"/>
      <x:c r="P252" s="1"/>
      <x:c r="Q252" s="1"/>
    </x:row>
    <x:row r="253" ht="22" customHeight="1">
      <x:c r="A253" s="1" t="str">
        <x:v>O0445</x:v>
      </x:c>
      <x:c r="B253" s="1" t="str">
        <x:v>Simulated Hyderabad Engineering College 445</x:v>
      </x:c>
      <x:c r="C253" s="9" t="n">
        <x:v>3.475</x:v>
      </x:c>
      <x:c r="D253" s="9" t="n">
        <x:v>9</x:v>
      </x:c>
      <x:c r="E253" s="9" t="n">
        <x:v>3.75</x:v>
      </x:c>
      <x:c r="F253" s="9" t="n">
        <x:v>7</x:v>
      </x:c>
      <x:c r="G253" s="9" t="n">
        <x:v>15</x:v>
      </x:c>
      <x:c r="H253" s="9" t="n">
        <x:v>2.93</x:v>
      </x:c>
      <x:c r="I253" s="9" t="n">
        <x:v>0.4285714286</x:v>
      </x:c>
      <x:c r="J253" s="9" t="n">
        <x:v>2.3333333333</x:v>
      </x:c>
      <x:c r="K253" s="9" t="n">
        <x:f>ROUND(SUM(C253:J253),2)</x:f>
        <x:v>43.92</x:v>
      </x:c>
      <x:c r="L253" s="1" t="str">
        <x:f>IF(K253&gt;=70,"High",IF(K253&gt;=45,"Medium","Low"))</x:f>
        <x:v>Low</x:v>
      </x:c>
      <x:c r="M253" s="1"/>
      <x:c r="N253" s="1"/>
      <x:c r="O253" s="1"/>
      <x:c r="P253" s="1"/>
      <x:c r="Q253" s="1"/>
    </x:row>
    <x:row r="254" ht="22" customHeight="1">
      <x:c r="A254" s="1" t="str">
        <x:v>O0469</x:v>
      </x:c>
      <x:c r="B254" s="1" t="str">
        <x:v>Simulated Ludhiana Engineering College 469</x:v>
      </x:c>
      <x:c r="C254" s="9" t="n">
        <x:v>4.334</x:v>
      </x:c>
      <x:c r="D254" s="9" t="n">
        <x:v>8.5</x:v>
      </x:c>
      <x:c r="E254" s="9" t="n">
        <x:v>5</x:v>
      </x:c>
      <x:c r="F254" s="9" t="n">
        <x:v>7</x:v>
      </x:c>
      <x:c r="G254" s="9" t="n">
        <x:v>7.5</x:v>
      </x:c>
      <x:c r="H254" s="9" t="n">
        <x:v>2.16</x:v>
      </x:c>
      <x:c r="I254" s="9" t="n">
        <x:v>0.4285714286</x:v>
      </x:c>
      <x:c r="J254" s="9" t="n">
        <x:v>9</x:v>
      </x:c>
      <x:c r="K254" s="9" t="n">
        <x:f>ROUND(SUM(C254:J254),2)</x:f>
        <x:v>43.92</x:v>
      </x:c>
      <x:c r="L254" s="1" t="str">
        <x:f>IF(K254&gt;=70,"High",IF(K254&gt;=45,"Medium","Low"))</x:f>
        <x:v>Low</x:v>
      </x:c>
      <x:c r="M254" s="1"/>
      <x:c r="N254" s="1"/>
      <x:c r="O254" s="1"/>
      <x:c r="P254" s="1"/>
      <x:c r="Q254" s="1"/>
    </x:row>
    <x:row r="255" ht="22" customHeight="1">
      <x:c r="A255" s="1" t="str">
        <x:v>O0028</x:v>
      </x:c>
      <x:c r="B255" s="1" t="str">
        <x:v>Simulated Patna Engineering College 028</x:v>
      </x:c>
      <x:c r="C255" s="9" t="n">
        <x:v>1.924</x:v>
      </x:c>
      <x:c r="D255" s="9" t="n">
        <x:v>6.5</x:v>
      </x:c>
      <x:c r="E255" s="9" t="n">
        <x:v>6.25</x:v>
      </x:c>
      <x:c r="F255" s="9" t="n">
        <x:v>4</x:v>
      </x:c>
      <x:c r="G255" s="9" t="n">
        <x:v>15</x:v>
      </x:c>
      <x:c r="H255" s="9" t="n">
        <x:v>1.28</x:v>
      </x:c>
      <x:c r="I255" s="9" t="n">
        <x:v>4.2857142857</x:v>
      </x:c>
      <x:c r="J255" s="9" t="n">
        <x:v>4.6666666667</x:v>
      </x:c>
      <x:c r="K255" s="9" t="n">
        <x:f>ROUND(SUM(C255:J255),2)</x:f>
        <x:v>43.91</x:v>
      </x:c>
      <x:c r="L255" s="1" t="str">
        <x:f>IF(K255&gt;=70,"High",IF(K255&gt;=45,"Medium","Low"))</x:f>
        <x:v>Low</x:v>
      </x:c>
      <x:c r="M255" s="1"/>
      <x:c r="N255" s="1"/>
      <x:c r="O255" s="1"/>
      <x:c r="P255" s="1"/>
      <x:c r="Q255" s="1"/>
    </x:row>
    <x:row r="256" ht="22" customHeight="1">
      <x:c r="A256" s="1" t="str">
        <x:v>O0065</x:v>
      </x:c>
      <x:c r="B256" s="1" t="str">
        <x:v>Simulated Pune Management Institute 065</x:v>
      </x:c>
      <x:c r="C256" s="9" t="n">
        <x:v>3.14</x:v>
      </x:c>
      <x:c r="D256" s="9" t="n">
        <x:v>8</x:v>
      </x:c>
      <x:c r="E256" s="9" t="n">
        <x:v>6.25</x:v>
      </x:c>
      <x:c r="F256" s="9" t="n">
        <x:v>7</x:v>
      </x:c>
      <x:c r="G256" s="9" t="n">
        <x:v>6</x:v>
      </x:c>
      <x:c r="H256" s="9" t="n">
        <x:v>1.66</x:v>
      </x:c>
      <x:c r="I256" s="9" t="n">
        <x:v>4.2857142857</x:v>
      </x:c>
      <x:c r="J256" s="9" t="n">
        <x:v>7.5</x:v>
      </x:c>
      <x:c r="K256" s="9" t="n">
        <x:f>ROUND(SUM(C256:J256),2)</x:f>
        <x:v>43.84</x:v>
      </x:c>
      <x:c r="L256" s="1" t="str">
        <x:f>IF(K256&gt;=70,"High",IF(K256&gt;=45,"Medium","Low"))</x:f>
        <x:v>Low</x:v>
      </x:c>
      <x:c r="M256" s="1"/>
      <x:c r="N256" s="1"/>
      <x:c r="O256" s="1"/>
      <x:c r="P256" s="1"/>
      <x:c r="Q256" s="1"/>
    </x:row>
    <x:row r="257" ht="22" customHeight="1">
      <x:c r="A257" s="1" t="str">
        <x:v>O0560</x:v>
      </x:c>
      <x:c r="B257" s="1" t="str">
        <x:v>Simulated Pune Engineering College 560</x:v>
      </x:c>
      <x:c r="C257" s="9" t="n">
        <x:v>5.64</x:v>
      </x:c>
      <x:c r="D257" s="9" t="n">
        <x:v>8</x:v>
      </x:c>
      <x:c r="E257" s="9" t="n">
        <x:v>3.75</x:v>
      </x:c>
      <x:c r="F257" s="9" t="n">
        <x:v>7</x:v>
      </x:c>
      <x:c r="G257" s="9" t="n">
        <x:v>5</x:v>
      </x:c>
      <x:c r="H257" s="9" t="n">
        <x:v>2.77</x:v>
      </x:c>
      <x:c r="I257" s="9" t="n">
        <x:v>1.4285714286</x:v>
      </x:c>
      <x:c r="J257" s="9" t="n">
        <x:v>10</x:v>
      </x:c>
      <x:c r="K257" s="9" t="n">
        <x:f>ROUND(SUM(C257:J257),2)</x:f>
        <x:v>43.59</x:v>
      </x:c>
      <x:c r="L257" s="1" t="str">
        <x:f>IF(K257&gt;=70,"High",IF(K257&gt;=45,"Medium","Low"))</x:f>
        <x:v>Low</x:v>
      </x:c>
      <x:c r="M257" s="1"/>
      <x:c r="N257" s="1"/>
      <x:c r="O257" s="1"/>
      <x:c r="P257" s="1"/>
      <x:c r="Q257" s="1"/>
    </x:row>
    <x:row r="258" ht="22" customHeight="1">
      <x:c r="A258" s="1" t="str">
        <x:v>O0409</x:v>
      </x:c>
      <x:c r="B258" s="1" t="str">
        <x:v>Simulated Ludhiana Management Institute 409</x:v>
      </x:c>
      <x:c r="C258" s="9" t="n">
        <x:v>4.698</x:v>
      </x:c>
      <x:c r="D258" s="9" t="n">
        <x:v>8.5</x:v>
      </x:c>
      <x:c r="E258" s="9" t="n">
        <x:v>11.25</x:v>
      </x:c>
      <x:c r="F258" s="9" t="n">
        <x:v>7</x:v>
      </x:c>
      <x:c r="G258" s="9" t="n">
        <x:v>6.6666666667</x:v>
      </x:c>
      <x:c r="H258" s="9" t="n">
        <x:v>2.55</x:v>
      </x:c>
      <x:c r="I258" s="9" t="n">
        <x:v>2.5714285714</x:v>
      </x:c>
      <x:c r="J258" s="9" t="n">
        <x:v>0.3333333333</x:v>
      </x:c>
      <x:c r="K258" s="9" t="n">
        <x:f>ROUND(SUM(C258:J258),2)</x:f>
        <x:v>43.57</x:v>
      </x:c>
      <x:c r="L258" s="1" t="str">
        <x:f>IF(K258&gt;=70,"High",IF(K258&gt;=45,"Medium","Low"))</x:f>
        <x:v>Low</x:v>
      </x:c>
      <x:c r="M258" s="1"/>
      <x:c r="N258" s="1"/>
      <x:c r="O258" s="1"/>
      <x:c r="P258" s="1"/>
      <x:c r="Q258" s="1"/>
    </x:row>
    <x:row r="259" ht="22" customHeight="1">
      <x:c r="A259" s="1" t="str">
        <x:v>O0477</x:v>
      </x:c>
      <x:c r="B259" s="1" t="str">
        <x:v>Simulated Bhubaneswar Engineering College 477</x:v>
      </x:c>
      <x:c r="C259" s="9" t="n">
        <x:v>1.531</x:v>
      </x:c>
      <x:c r="D259" s="9" t="n">
        <x:v>6.5</x:v>
      </x:c>
      <x:c r="E259" s="9" t="n">
        <x:v>10</x:v>
      </x:c>
      <x:c r="F259" s="9" t="n">
        <x:v>4</x:v>
      </x:c>
      <x:c r="G259" s="9" t="n">
        <x:v>7.5</x:v>
      </x:c>
      <x:c r="H259" s="9" t="n">
        <x:v>1.25</x:v>
      </x:c>
      <x:c r="I259" s="9" t="n">
        <x:v>4.2857142857</x:v>
      </x:c>
      <x:c r="J259" s="9" t="n">
        <x:v>8.5</x:v>
      </x:c>
      <x:c r="K259" s="9" t="n">
        <x:f>ROUND(SUM(C259:J259),2)</x:f>
        <x:v>43.57</x:v>
      </x:c>
      <x:c r="L259" s="1" t="str">
        <x:f>IF(K259&gt;=70,"High",IF(K259&gt;=45,"Medium","Low"))</x:f>
        <x:v>Low</x:v>
      </x:c>
      <x:c r="M259" s="1"/>
      <x:c r="N259" s="1"/>
      <x:c r="O259" s="1"/>
      <x:c r="P259" s="1"/>
      <x:c r="Q259" s="1"/>
    </x:row>
    <x:row r="260" ht="22" customHeight="1">
      <x:c r="A260" s="1" t="str">
        <x:v>O0283</x:v>
      </x:c>
      <x:c r="B260" s="1" t="str">
        <x:v>Simulated Patna Management Institute 283</x:v>
      </x:c>
      <x:c r="C260" s="9" t="n">
        <x:v>1.55</x:v>
      </x:c>
      <x:c r="D260" s="9" t="n">
        <x:v>6.5</x:v>
      </x:c>
      <x:c r="E260" s="9" t="n">
        <x:v>13.75</x:v>
      </x:c>
      <x:c r="F260" s="9" t="n">
        <x:v>4</x:v>
      </x:c>
      <x:c r="G260" s="9" t="n">
        <x:v>5.4545454545</x:v>
      </x:c>
      <x:c r="H260" s="9" t="n">
        <x:v>1.69</x:v>
      </x:c>
      <x:c r="I260" s="9" t="n">
        <x:v>0.4285714286</x:v>
      </x:c>
      <x:c r="J260" s="9" t="n">
        <x:v>10</x:v>
      </x:c>
      <x:c r="K260" s="9" t="n">
        <x:f>ROUND(SUM(C260:J260),2)</x:f>
        <x:v>43.37</x:v>
      </x:c>
      <x:c r="L260" s="1" t="str">
        <x:f>IF(K260&gt;=70,"High",IF(K260&gt;=45,"Medium","Low"))</x:f>
        <x:v>Low</x:v>
      </x:c>
      <x:c r="M260" s="1"/>
      <x:c r="N260" s="1"/>
      <x:c r="O260" s="1"/>
      <x:c r="P260" s="1"/>
      <x:c r="Q260" s="1"/>
    </x:row>
    <x:row r="261" ht="22" customHeight="1">
      <x:c r="A261" s="1" t="str">
        <x:v>O0424</x:v>
      </x:c>
      <x:c r="B261" s="1" t="str">
        <x:v>Simulated Ludhiana Management Institute 424</x:v>
      </x:c>
      <x:c r="C261" s="9" t="n">
        <x:v>3.751</x:v>
      </x:c>
      <x:c r="D261" s="9" t="n">
        <x:v>8.5</x:v>
      </x:c>
      <x:c r="E261" s="9" t="n">
        <x:v>8.75</x:v>
      </x:c>
      <x:c r="F261" s="9" t="n">
        <x:v>7</x:v>
      </x:c>
      <x:c r="G261" s="9" t="n">
        <x:v>6.4285714286</x:v>
      </x:c>
      <x:c r="H261" s="9" t="n">
        <x:v>3.35</x:v>
      </x:c>
      <x:c r="I261" s="9" t="n">
        <x:v>0.4285714286</x:v>
      </x:c>
      <x:c r="J261" s="9" t="n">
        <x:v>5</x:v>
      </x:c>
      <x:c r="K261" s="9" t="n">
        <x:f>ROUND(SUM(C261:J261),2)</x:f>
        <x:v>43.21</x:v>
      </x:c>
      <x:c r="L261" s="1" t="str">
        <x:f>IF(K261&gt;=70,"High",IF(K261&gt;=45,"Medium","Low"))</x:f>
        <x:v>Low</x:v>
      </x:c>
      <x:c r="M261" s="1"/>
      <x:c r="N261" s="1"/>
      <x:c r="O261" s="1"/>
      <x:c r="P261" s="1"/>
      <x:c r="Q261" s="1"/>
    </x:row>
    <x:row r="262" ht="22" customHeight="1">
      <x:c r="A262" s="1" t="str">
        <x:v>O0210</x:v>
      </x:c>
      <x:c r="B262" s="1" t="str">
        <x:v>Simulated Indore Management Institute 210</x:v>
      </x:c>
      <x:c r="C262" s="9" t="n">
        <x:v>4.119</x:v>
      </x:c>
      <x:c r="D262" s="9" t="n">
        <x:v>6.5</x:v>
      </x:c>
      <x:c r="E262" s="9" t="n">
        <x:v>8.75</x:v>
      </x:c>
      <x:c r="F262" s="9" t="n">
        <x:v>7</x:v>
      </x:c>
      <x:c r="G262" s="9" t="n">
        <x:v>6.4285714286</x:v>
      </x:c>
      <x:c r="H262" s="9" t="n">
        <x:v>2.79</x:v>
      </x:c>
      <x:c r="I262" s="9" t="n">
        <x:v>0.4285714286</x:v>
      </x:c>
      <x:c r="J262" s="9" t="n">
        <x:v>7.1666666667</x:v>
      </x:c>
      <x:c r="K262" s="9" t="n">
        <x:f>ROUND(SUM(C262:J262),2)</x:f>
        <x:v>43.18</x:v>
      </x:c>
      <x:c r="L262" s="1" t="str">
        <x:f>IF(K262&gt;=70,"High",IF(K262&gt;=45,"Medium","Low"))</x:f>
        <x:v>Low</x:v>
      </x:c>
      <x:c r="M262" s="1"/>
      <x:c r="N262" s="1"/>
      <x:c r="O262" s="1"/>
      <x:c r="P262" s="1"/>
      <x:c r="Q262" s="1"/>
    </x:row>
    <x:row r="263" ht="22" customHeight="1">
      <x:c r="A263" s="1" t="str">
        <x:v>O0011</x:v>
      </x:c>
      <x:c r="B263" s="1" t="str">
        <x:v>Simulated Kolkata Arts and Science College 011</x:v>
      </x:c>
      <x:c r="C263" s="9" t="n">
        <x:v>5.549</x:v>
      </x:c>
      <x:c r="D263" s="9" t="n">
        <x:v>6.5</x:v>
      </x:c>
      <x:c r="E263" s="9" t="n">
        <x:v>6.25</x:v>
      </x:c>
      <x:c r="F263" s="9" t="n">
        <x:v>7</x:v>
      </x:c>
      <x:c r="G263" s="9" t="n">
        <x:v>3</x:v>
      </x:c>
      <x:c r="H263" s="9" t="n">
        <x:v>2.99</x:v>
      </x:c>
      <x:c r="I263" s="9" t="n">
        <x:v>2.5714285714</x:v>
      </x:c>
      <x:c r="J263" s="9" t="n">
        <x:v>9.1666666667</x:v>
      </x:c>
      <x:c r="K263" s="9" t="n">
        <x:f>ROUND(SUM(C263:J263),2)</x:f>
        <x:v>43.03</x:v>
      </x:c>
      <x:c r="L263" s="1" t="str">
        <x:f>IF(K263&gt;=70,"High",IF(K263&gt;=45,"Medium","Low"))</x:f>
        <x:v>Low</x:v>
      </x:c>
      <x:c r="M263" s="1"/>
      <x:c r="N263" s="1"/>
      <x:c r="O263" s="1"/>
      <x:c r="P263" s="1"/>
      <x:c r="Q263" s="1"/>
    </x:row>
    <x:row r="264" ht="22" customHeight="1">
      <x:c r="A264" s="1" t="str">
        <x:v>O0256</x:v>
      </x:c>
      <x:c r="B264" s="1" t="str">
        <x:v>Simulated New Delhi Arts and Science College 256</x:v>
      </x:c>
      <x:c r="C264" s="9" t="n">
        <x:v>5.588</x:v>
      </x:c>
      <x:c r="D264" s="9" t="n">
        <x:v>8.5</x:v>
      </x:c>
      <x:c r="E264" s="9" t="n">
        <x:v>3.75</x:v>
      </x:c>
      <x:c r="F264" s="9" t="n">
        <x:v>7</x:v>
      </x:c>
      <x:c r="G264" s="9" t="n">
        <x:v>5</x:v>
      </x:c>
      <x:c r="H264" s="9" t="n">
        <x:v>3.08</x:v>
      </x:c>
      <x:c r="I264" s="9" t="n">
        <x:v>0.4285714286</x:v>
      </x:c>
      <x:c r="J264" s="9" t="n">
        <x:v>9.6666666667</x:v>
      </x:c>
      <x:c r="K264" s="9" t="n">
        <x:f>ROUND(SUM(C264:J264),2)</x:f>
        <x:v>43.01</x:v>
      </x:c>
      <x:c r="L264" s="1" t="str">
        <x:f>IF(K264&gt;=70,"High",IF(K264&gt;=45,"Medium","Low"))</x:f>
        <x:v>Low</x:v>
      </x:c>
      <x:c r="M264" s="1"/>
      <x:c r="N264" s="1"/>
      <x:c r="O264" s="1"/>
      <x:c r="P264" s="1"/>
      <x:c r="Q264" s="1"/>
    </x:row>
    <x:row r="265" ht="22" customHeight="1">
      <x:c r="A265" s="1" t="str">
        <x:v>O0174</x:v>
      </x:c>
      <x:c r="B265" s="1" t="str">
        <x:v>Simulated Chennai University 174</x:v>
      </x:c>
      <x:c r="C265" s="9" t="n">
        <x:v>3.227</x:v>
      </x:c>
      <x:c r="D265" s="9" t="n">
        <x:v>9</x:v>
      </x:c>
      <x:c r="E265" s="9" t="n">
        <x:v>6.25</x:v>
      </x:c>
      <x:c r="F265" s="9" t="n">
        <x:v>7</x:v>
      </x:c>
      <x:c r="G265" s="9" t="n">
        <x:v>9</x:v>
      </x:c>
      <x:c r="H265" s="9" t="n">
        <x:v>1.7</x:v>
      </x:c>
      <x:c r="I265" s="9" t="n">
        <x:v>0.4285714286</x:v>
      </x:c>
      <x:c r="J265" s="9" t="n">
        <x:v>6.3333333333</x:v>
      </x:c>
      <x:c r="K265" s="9" t="n">
        <x:f>ROUND(SUM(C265:J265),2)</x:f>
        <x:v>42.94</x:v>
      </x:c>
      <x:c r="L265" s="1" t="str">
        <x:f>IF(K265&gt;=70,"High",IF(K265&gt;=45,"Medium","Low"))</x:f>
        <x:v>Low</x:v>
      </x:c>
      <x:c r="M265" s="1"/>
      <x:c r="N265" s="1"/>
      <x:c r="O265" s="1"/>
      <x:c r="P265" s="1"/>
      <x:c r="Q265" s="1"/>
    </x:row>
    <x:row r="266" ht="22" customHeight="1">
      <x:c r="A266" s="1" t="str">
        <x:v>O0471</x:v>
      </x:c>
      <x:c r="B266" s="1" t="str">
        <x:v>Simulated Ahmedabad Management Institute 471</x:v>
      </x:c>
      <x:c r="C266" s="9" t="n">
        <x:v>0.832</x:v>
      </x:c>
      <x:c r="D266" s="9" t="n">
        <x:v>8</x:v>
      </x:c>
      <x:c r="E266" s="9" t="n">
        <x:v>11.25</x:v>
      </x:c>
      <x:c r="F266" s="9" t="n">
        <x:v>4</x:v>
      </x:c>
      <x:c r="G266" s="9" t="n">
        <x:v>6.6666666667</x:v>
      </x:c>
      <x:c r="H266" s="9" t="n">
        <x:v>1.26</x:v>
      </x:c>
      <x:c r="I266" s="9" t="n">
        <x:v>1.4285714286</x:v>
      </x:c>
      <x:c r="J266" s="9" t="n">
        <x:v>9.5</x:v>
      </x:c>
      <x:c r="K266" s="9" t="n">
        <x:f>ROUND(SUM(C266:J266),2)</x:f>
        <x:v>42.94</x:v>
      </x:c>
      <x:c r="L266" s="1" t="str">
        <x:f>IF(K266&gt;=70,"High",IF(K266&gt;=45,"Medium","Low"))</x:f>
        <x:v>Low</x:v>
      </x:c>
      <x:c r="M266" s="1"/>
      <x:c r="N266" s="1"/>
      <x:c r="O266" s="1"/>
      <x:c r="P266" s="1"/>
      <x:c r="Q266" s="1"/>
    </x:row>
    <x:row r="267" ht="22" customHeight="1">
      <x:c r="A267" s="1" t="str">
        <x:v>O0467</x:v>
      </x:c>
      <x:c r="B267" s="1" t="str">
        <x:v>Simulated Noida University 467</x:v>
      </x:c>
      <x:c r="C267" s="9" t="n">
        <x:v>4.465</x:v>
      </x:c>
      <x:c r="D267" s="9" t="n">
        <x:v>8.5</x:v>
      </x:c>
      <x:c r="E267" s="9" t="n">
        <x:v>7.5</x:v>
      </x:c>
      <x:c r="F267" s="9" t="n">
        <x:v>7</x:v>
      </x:c>
      <x:c r="G267" s="9" t="n">
        <x:v>10</x:v>
      </x:c>
      <x:c r="H267" s="9" t="n">
        <x:v>2.75</x:v>
      </x:c>
      <x:c r="I267" s="9" t="n">
        <x:v>2.5714285714</x:v>
      </x:c>
      <x:c r="J267" s="9" t="n">
        <x:v>0</x:v>
      </x:c>
      <x:c r="K267" s="9" t="n">
        <x:f>ROUND(SUM(C267:J267),2)</x:f>
        <x:v>42.79</x:v>
      </x:c>
      <x:c r="L267" s="1" t="str">
        <x:f>IF(K267&gt;=70,"High",IF(K267&gt;=45,"Medium","Low"))</x:f>
        <x:v>Low</x:v>
      </x:c>
      <x:c r="M267" s="1"/>
      <x:c r="N267" s="1"/>
      <x:c r="O267" s="1"/>
      <x:c r="P267" s="1"/>
      <x:c r="Q267" s="1"/>
    </x:row>
    <x:row r="268" ht="22" customHeight="1">
      <x:c r="A268" s="1" t="str">
        <x:v>O0461</x:v>
      </x:c>
      <x:c r="B268" s="1" t="str">
        <x:v>Simulated Kolkata Management Institute 461</x:v>
      </x:c>
      <x:c r="C268" s="9" t="n">
        <x:v>4.819</x:v>
      </x:c>
      <x:c r="D268" s="9" t="n">
        <x:v>6.5</x:v>
      </x:c>
      <x:c r="E268" s="9" t="n">
        <x:v>3.75</x:v>
      </x:c>
      <x:c r="F268" s="9" t="n">
        <x:v>7</x:v>
      </x:c>
      <x:c r="G268" s="9" t="n">
        <x:v>5</x:v>
      </x:c>
      <x:c r="H268" s="9" t="n">
        <x:v>3.75</x:v>
      </x:c>
      <x:c r="I268" s="9" t="n">
        <x:v>2.5714285714</x:v>
      </x:c>
      <x:c r="J268" s="9" t="n">
        <x:v>9.1666666667</x:v>
      </x:c>
      <x:c r="K268" s="9" t="n">
        <x:f>ROUND(SUM(C268:J268),2)</x:f>
        <x:v>42.56</x:v>
      </x:c>
      <x:c r="L268" s="1" t="str">
        <x:f>IF(K268&gt;=70,"High",IF(K268&gt;=45,"Medium","Low"))</x:f>
        <x:v>Low</x:v>
      </x:c>
      <x:c r="M268" s="1"/>
      <x:c r="N268" s="1"/>
      <x:c r="O268" s="1"/>
      <x:c r="P268" s="1"/>
      <x:c r="Q268" s="1"/>
    </x:row>
    <x:row r="269" ht="22" customHeight="1">
      <x:c r="A269" s="1" t="str">
        <x:v>O0135</x:v>
      </x:c>
      <x:c r="B269" s="1" t="str">
        <x:v>Simulated Indore Management Institute 135</x:v>
      </x:c>
      <x:c r="C269" s="9" t="n">
        <x:v>0.6</x:v>
      </x:c>
      <x:c r="D269" s="9" t="n">
        <x:v>6.5</x:v>
      </x:c>
      <x:c r="E269" s="9" t="n">
        <x:v>12.5</x:v>
      </x:c>
      <x:c r="F269" s="9" t="n">
        <x:v>4</x:v>
      </x:c>
      <x:c r="G269" s="9" t="n">
        <x:v>7.5</x:v>
      </x:c>
      <x:c r="H269" s="9" t="n">
        <x:v>1.02</x:v>
      </x:c>
      <x:c r="I269" s="9" t="n">
        <x:v>0.4285714286</x:v>
      </x:c>
      <x:c r="J269" s="9" t="n">
        <x:v>10</x:v>
      </x:c>
      <x:c r="K269" s="9" t="n">
        <x:f>ROUND(SUM(C269:J269),2)</x:f>
        <x:v>42.55</x:v>
      </x:c>
      <x:c r="L269" s="1" t="str">
        <x:f>IF(K269&gt;=70,"High",IF(K269&gt;=45,"Medium","Low"))</x:f>
        <x:v>Low</x:v>
      </x:c>
      <x:c r="M269" s="1"/>
      <x:c r="N269" s="1"/>
      <x:c r="O269" s="1"/>
      <x:c r="P269" s="1"/>
      <x:c r="Q269" s="1"/>
    </x:row>
    <x:row r="270" ht="22" customHeight="1">
      <x:c r="A270" s="1" t="str">
        <x:v>O0131</x:v>
      </x:c>
      <x:c r="B270" s="1" t="str">
        <x:v>Simulated Kolkata Engineering College 131</x:v>
      </x:c>
      <x:c r="C270" s="9" t="n">
        <x:v>1.117</x:v>
      </x:c>
      <x:c r="D270" s="9" t="n">
        <x:v>6.5</x:v>
      </x:c>
      <x:c r="E270" s="9" t="n">
        <x:v>10</x:v>
      </x:c>
      <x:c r="F270" s="9" t="n">
        <x:v>4</x:v>
      </x:c>
      <x:c r="G270" s="9" t="n">
        <x:v>9.375</x:v>
      </x:c>
      <x:c r="H270" s="9" t="n">
        <x:v>1.1</x:v>
      </x:c>
      <x:c r="I270" s="9" t="n">
        <x:v>0.4285714286</x:v>
      </x:c>
      <x:c r="J270" s="9" t="n">
        <x:v>10</x:v>
      </x:c>
      <x:c r="K270" s="9" t="n">
        <x:f>ROUND(SUM(C270:J270),2)</x:f>
        <x:v>42.52</x:v>
      </x:c>
      <x:c r="L270" s="1" t="str">
        <x:f>IF(K270&gt;=70,"High",IF(K270&gt;=45,"Medium","Low"))</x:f>
        <x:v>Low</x:v>
      </x:c>
      <x:c r="M270" s="1"/>
      <x:c r="N270" s="1"/>
      <x:c r="O270" s="1"/>
      <x:c r="P270" s="1"/>
      <x:c r="Q270" s="1"/>
    </x:row>
    <x:row r="271" ht="22" customHeight="1">
      <x:c r="A271" s="1" t="str">
        <x:v>O0425</x:v>
      </x:c>
      <x:c r="B271" s="1" t="str">
        <x:v>Simulated Pune Engineering College 425</x:v>
      </x:c>
      <x:c r="C271" s="9" t="n">
        <x:v>5.191</x:v>
      </x:c>
      <x:c r="D271" s="9" t="n">
        <x:v>8</x:v>
      </x:c>
      <x:c r="E271" s="9" t="n">
        <x:v>3.75</x:v>
      </x:c>
      <x:c r="F271" s="9" t="n">
        <x:v>7</x:v>
      </x:c>
      <x:c r="G271" s="9" t="n">
        <x:v>15</x:v>
      </x:c>
      <x:c r="H271" s="9" t="n">
        <x:v>2.1</x:v>
      </x:c>
      <x:c r="I271" s="9" t="n">
        <x:v>1.4285714286</x:v>
      </x:c>
      <x:c r="J271" s="9" t="n">
        <x:v>0</x:v>
      </x:c>
      <x:c r="K271" s="9" t="n">
        <x:f>ROUND(SUM(C271:J271),2)</x:f>
        <x:v>42.47</x:v>
      </x:c>
      <x:c r="L271" s="1" t="str">
        <x:f>IF(K271&gt;=70,"High",IF(K271&gt;=45,"Medium","Low"))</x:f>
        <x:v>Low</x:v>
      </x:c>
      <x:c r="M271" s="1"/>
      <x:c r="N271" s="1"/>
      <x:c r="O271" s="1"/>
      <x:c r="P271" s="1"/>
      <x:c r="Q271" s="1"/>
    </x:row>
    <x:row r="272" ht="22" customHeight="1">
      <x:c r="A272" s="1" t="str">
        <x:v>O0350</x:v>
      </x:c>
      <x:c r="B272" s="1" t="str">
        <x:v>Simulated Pune University 350</x:v>
      </x:c>
      <x:c r="C272" s="9" t="n">
        <x:v>1.185</x:v>
      </x:c>
      <x:c r="D272" s="9" t="n">
        <x:v>8</x:v>
      </x:c>
      <x:c r="E272" s="9" t="n">
        <x:v>7.5</x:v>
      </x:c>
      <x:c r="F272" s="9" t="n">
        <x:v>4</x:v>
      </x:c>
      <x:c r="G272" s="9" t="n">
        <x:v>10</x:v>
      </x:c>
      <x:c r="H272" s="9" t="n">
        <x:v>1.53</x:v>
      </x:c>
      <x:c r="I272" s="9" t="n">
        <x:v>0.4285714286</x:v>
      </x:c>
      <x:c r="J272" s="9" t="n">
        <x:v>9.6666666667</x:v>
      </x:c>
      <x:c r="K272" s="9" t="n">
        <x:f>ROUND(SUM(C272:J272),2)</x:f>
        <x:v>42.31</x:v>
      </x:c>
      <x:c r="L272" s="1" t="str">
        <x:f>IF(K272&gt;=70,"High",IF(K272&gt;=45,"Medium","Low"))</x:f>
        <x:v>Low</x:v>
      </x:c>
      <x:c r="M272" s="1"/>
      <x:c r="N272" s="1"/>
      <x:c r="O272" s="1"/>
      <x:c r="P272" s="1"/>
      <x:c r="Q272" s="1"/>
    </x:row>
    <x:row r="273" ht="22" customHeight="1">
      <x:c r="A273" s="1" t="str">
        <x:v>O0042</x:v>
      </x:c>
      <x:c r="B273" s="1" t="str">
        <x:v>Simulated Bhubaneswar Engineering College 042</x:v>
      </x:c>
      <x:c r="C273" s="9" t="n">
        <x:v>1.707</x:v>
      </x:c>
      <x:c r="D273" s="9" t="n">
        <x:v>6.5</x:v>
      </x:c>
      <x:c r="E273" s="9" t="n">
        <x:v>7.5</x:v>
      </x:c>
      <x:c r="F273" s="9" t="n">
        <x:v>4</x:v>
      </x:c>
      <x:c r="G273" s="9" t="n">
        <x:v>7.5</x:v>
      </x:c>
      <x:c r="H273" s="9" t="n">
        <x:v>1.8</x:v>
      </x:c>
      <x:c r="I273" s="9" t="n">
        <x:v>4.2857142857</x:v>
      </x:c>
      <x:c r="J273" s="9" t="n">
        <x:v>9</x:v>
      </x:c>
      <x:c r="K273" s="9" t="n">
        <x:f>ROUND(SUM(C273:J273),2)</x:f>
        <x:v>42.29</x:v>
      </x:c>
      <x:c r="L273" s="1" t="str">
        <x:f>IF(K273&gt;=70,"High",IF(K273&gt;=45,"Medium","Low"))</x:f>
        <x:v>Low</x:v>
      </x:c>
      <x:c r="M273" s="1"/>
      <x:c r="N273" s="1"/>
      <x:c r="O273" s="1"/>
      <x:c r="P273" s="1"/>
      <x:c r="Q273" s="1"/>
    </x:row>
    <x:row r="274" ht="22" customHeight="1">
      <x:c r="A274" s="1" t="str">
        <x:v>O0581</x:v>
      </x:c>
      <x:c r="B274" s="1" t="str">
        <x:v>Simulated Kolkata Management Institute 581</x:v>
      </x:c>
      <x:c r="C274" s="9" t="n">
        <x:v>0.359</x:v>
      </x:c>
      <x:c r="D274" s="9" t="n">
        <x:v>6.5</x:v>
      </x:c>
      <x:c r="E274" s="9" t="n">
        <x:v>10</x:v>
      </x:c>
      <x:c r="F274" s="9" t="n">
        <x:v>4</x:v>
      </x:c>
      <x:c r="G274" s="9" t="n">
        <x:v>9.375</x:v>
      </x:c>
      <x:c r="H274" s="9" t="n">
        <x:v>0.95</x:v>
      </x:c>
      <x:c r="I274" s="9" t="n">
        <x:v>1.4285714286</x:v>
      </x:c>
      <x:c r="J274" s="9" t="n">
        <x:v>9.6666666667</x:v>
      </x:c>
      <x:c r="K274" s="9" t="n">
        <x:f>ROUND(SUM(C274:J274),2)</x:f>
        <x:v>42.28</x:v>
      </x:c>
      <x:c r="L274" s="1" t="str">
        <x:f>IF(K274&gt;=70,"High",IF(K274&gt;=45,"Medium","Low"))</x:f>
        <x:v>Low</x:v>
      </x:c>
      <x:c r="M274" s="1"/>
      <x:c r="N274" s="1"/>
      <x:c r="O274" s="1"/>
      <x:c r="P274" s="1"/>
      <x:c r="Q274" s="1"/>
    </x:row>
    <x:row r="275" ht="22" customHeight="1">
      <x:c r="A275" s="1" t="str">
        <x:v>O0449</x:v>
      </x:c>
      <x:c r="B275" s="1" t="str">
        <x:v>Simulated Guwahati Management Institute 449</x:v>
      </x:c>
      <x:c r="C275" s="9" t="n">
        <x:v>5.107</x:v>
      </x:c>
      <x:c r="D275" s="9" t="n">
        <x:v>5.5</x:v>
      </x:c>
      <x:c r="E275" s="9" t="n">
        <x:v>6.25</x:v>
      </x:c>
      <x:c r="F275" s="9" t="n">
        <x:v>7</x:v>
      </x:c>
      <x:c r="G275" s="9" t="n">
        <x:v>6</x:v>
      </x:c>
      <x:c r="H275" s="9" t="n">
        <x:v>2.08</x:v>
      </x:c>
      <x:c r="I275" s="9" t="n">
        <x:v>0.4285714286</x:v>
      </x:c>
      <x:c r="J275" s="9" t="n">
        <x:v>9.8333333333</x:v>
      </x:c>
      <x:c r="K275" s="9" t="n">
        <x:f>ROUND(SUM(C275:J275),2)</x:f>
        <x:v>42.2</x:v>
      </x:c>
      <x:c r="L275" s="1" t="str">
        <x:f>IF(K275&gt;=70,"High",IF(K275&gt;=45,"Medium","Low"))</x:f>
        <x:v>Low</x:v>
      </x:c>
      <x:c r="M275" s="1"/>
      <x:c r="N275" s="1"/>
      <x:c r="O275" s="1"/>
      <x:c r="P275" s="1"/>
      <x:c r="Q275" s="1"/>
    </x:row>
    <x:row r="276" ht="22" customHeight="1">
      <x:c r="A276" s="1" t="str">
        <x:v>O0588</x:v>
      </x:c>
      <x:c r="B276" s="1" t="str">
        <x:v>Simulated Gurugram Engineering College 588</x:v>
      </x:c>
      <x:c r="C276" s="9" t="n">
        <x:v>2.334</x:v>
      </x:c>
      <x:c r="D276" s="9" t="n">
        <x:v>8.5</x:v>
      </x:c>
      <x:c r="E276" s="9" t="n">
        <x:v>3.75</x:v>
      </x:c>
      <x:c r="F276" s="9" t="n">
        <x:v>7</x:v>
      </x:c>
      <x:c r="G276" s="9" t="n">
        <x:v>10</x:v>
      </x:c>
      <x:c r="H276" s="9" t="n">
        <x:v>1.48</x:v>
      </x:c>
      <x:c r="I276" s="9" t="n">
        <x:v>2.5714285714</x:v>
      </x:c>
      <x:c r="J276" s="9" t="n">
        <x:v>6.5</x:v>
      </x:c>
      <x:c r="K276" s="9" t="n">
        <x:f>ROUND(SUM(C276:J276),2)</x:f>
        <x:v>42.14</x:v>
      </x:c>
      <x:c r="L276" s="1" t="str">
        <x:f>IF(K276&gt;=70,"High",IF(K276&gt;=45,"Medium","Low"))</x:f>
        <x:v>Low</x:v>
      </x:c>
      <x:c r="M276" s="1"/>
      <x:c r="N276" s="1"/>
      <x:c r="O276" s="1"/>
      <x:c r="P276" s="1"/>
      <x:c r="Q276" s="1"/>
    </x:row>
    <x:row r="277" ht="22" customHeight="1">
      <x:c r="A277" s="1" t="str">
        <x:v>O0423</x:v>
      </x:c>
      <x:c r="B277" s="1" t="str">
        <x:v>Simulated Gurugram Engineering College 423</x:v>
      </x:c>
      <x:c r="C277" s="9" t="n">
        <x:v>3.929</x:v>
      </x:c>
      <x:c r="D277" s="9" t="n">
        <x:v>8.5</x:v>
      </x:c>
      <x:c r="E277" s="9" t="n">
        <x:v>5</x:v>
      </x:c>
      <x:c r="F277" s="9" t="n">
        <x:v>7</x:v>
      </x:c>
      <x:c r="G277" s="9" t="n">
        <x:v>7.5</x:v>
      </x:c>
      <x:c r="H277" s="9" t="n">
        <x:v>3.43</x:v>
      </x:c>
      <x:c r="I277" s="9" t="n">
        <x:v>0.4285714286</x:v>
      </x:c>
      <x:c r="J277" s="9" t="n">
        <x:v>6.3333333333</x:v>
      </x:c>
      <x:c r="K277" s="9" t="n">
        <x:f>ROUND(SUM(C277:J277),2)</x:f>
        <x:v>42.12</x:v>
      </x:c>
      <x:c r="L277" s="1" t="str">
        <x:f>IF(K277&gt;=70,"High",IF(K277&gt;=45,"Medium","Low"))</x:f>
        <x:v>Low</x:v>
      </x:c>
      <x:c r="M277" s="1"/>
      <x:c r="N277" s="1"/>
      <x:c r="O277" s="1"/>
      <x:c r="P277" s="1"/>
      <x:c r="Q277" s="1"/>
    </x:row>
    <x:row r="278" ht="22" customHeight="1">
      <x:c r="A278" s="1" t="str">
        <x:v>O0254</x:v>
      </x:c>
      <x:c r="B278" s="1" t="str">
        <x:v>Simulated Guwahati Management Institute 254</x:v>
      </x:c>
      <x:c r="C278" s="9" t="n">
        <x:v>0.612</x:v>
      </x:c>
      <x:c r="D278" s="9" t="n">
        <x:v>5.5</x:v>
      </x:c>
      <x:c r="E278" s="9" t="n">
        <x:v>11.25</x:v>
      </x:c>
      <x:c r="F278" s="9" t="n">
        <x:v>4</x:v>
      </x:c>
      <x:c r="G278" s="9" t="n">
        <x:v>8.3333333333</x:v>
      </x:c>
      <x:c r="H278" s="9" t="n">
        <x:v>0.94</x:v>
      </x:c>
      <x:c r="I278" s="9" t="n">
        <x:v>1.4285714286</x:v>
      </x:c>
      <x:c r="J278" s="9" t="n">
        <x:v>10</x:v>
      </x:c>
      <x:c r="K278" s="9" t="n">
        <x:f>ROUND(SUM(C278:J278),2)</x:f>
        <x:v>42.06</x:v>
      </x:c>
      <x:c r="L278" s="1" t="str">
        <x:f>IF(K278&gt;=70,"High",IF(K278&gt;=45,"Medium","Low"))</x:f>
        <x:v>Low</x:v>
      </x:c>
      <x:c r="M278" s="1"/>
      <x:c r="N278" s="1"/>
      <x:c r="O278" s="1"/>
      <x:c r="P278" s="1"/>
      <x:c r="Q278" s="1"/>
    </x:row>
    <x:row r="279" ht="22" customHeight="1">
      <x:c r="A279" s="1" t="str">
        <x:v>O0326</x:v>
      </x:c>
      <x:c r="B279" s="1" t="str">
        <x:v>Simulated Kolkata Management Institute 326</x:v>
      </x:c>
      <x:c r="C279" s="9" t="n">
        <x:v>2.441</x:v>
      </x:c>
      <x:c r="D279" s="9" t="n">
        <x:v>6.5</x:v>
      </x:c>
      <x:c r="E279" s="9" t="n">
        <x:v>6.25</x:v>
      </x:c>
      <x:c r="F279" s="9" t="n">
        <x:v>7</x:v>
      </x:c>
      <x:c r="G279" s="9" t="n">
        <x:v>9</x:v>
      </x:c>
      <x:c r="H279" s="9" t="n">
        <x:v>2.11</x:v>
      </x:c>
      <x:c r="I279" s="9" t="n">
        <x:v>0.4285714286</x:v>
      </x:c>
      <x:c r="J279" s="9" t="n">
        <x:v>8.3333333333</x:v>
      </x:c>
      <x:c r="K279" s="9" t="n">
        <x:f>ROUND(SUM(C279:J279),2)</x:f>
        <x:v>42.06</x:v>
      </x:c>
      <x:c r="L279" s="1" t="str">
        <x:f>IF(K279&gt;=70,"High",IF(K279&gt;=45,"Medium","Low"))</x:f>
        <x:v>Low</x:v>
      </x:c>
      <x:c r="M279" s="1"/>
      <x:c r="N279" s="1"/>
      <x:c r="O279" s="1"/>
      <x:c r="P279" s="1"/>
      <x:c r="Q279" s="1"/>
    </x:row>
    <x:row r="280" ht="22" customHeight="1">
      <x:c r="A280" s="1" t="str">
        <x:v>O0070</x:v>
      </x:c>
      <x:c r="B280" s="1" t="str">
        <x:v>Simulated Hyderabad Arts and Science College 070</x:v>
      </x:c>
      <x:c r="C280" s="9" t="n">
        <x:v>0.212</x:v>
      </x:c>
      <x:c r="D280" s="9" t="n">
        <x:v>9</x:v>
      </x:c>
      <x:c r="E280" s="9" t="n">
        <x:v>7.5</x:v>
      </x:c>
      <x:c r="F280" s="9" t="n">
        <x:v>4</x:v>
      </x:c>
      <x:c r="G280" s="9" t="n">
        <x:v>10</x:v>
      </x:c>
      <x:c r="H280" s="9" t="n">
        <x:v>0.91</x:v>
      </x:c>
      <x:c r="I280" s="9" t="n">
        <x:v>0.4285714286</x:v>
      </x:c>
      <x:c r="J280" s="9" t="n">
        <x:v>10</x:v>
      </x:c>
      <x:c r="K280" s="9" t="n">
        <x:f>ROUND(SUM(C280:J280),2)</x:f>
        <x:v>42.05</x:v>
      </x:c>
      <x:c r="L280" s="1" t="str">
        <x:f>IF(K280&gt;=70,"High",IF(K280&gt;=45,"Medium","Low"))</x:f>
        <x:v>Low</x:v>
      </x:c>
      <x:c r="M280" s="1"/>
      <x:c r="N280" s="1"/>
      <x:c r="O280" s="1"/>
      <x:c r="P280" s="1"/>
      <x:c r="Q280" s="1"/>
    </x:row>
    <x:row r="281" ht="22" customHeight="1">
      <x:c r="A281" s="1" t="str">
        <x:v>O0146</x:v>
      </x:c>
      <x:c r="B281" s="1" t="str">
        <x:v>Simulated Kolkata Management Institute 146</x:v>
      </x:c>
      <x:c r="C281" s="9" t="n">
        <x:v>1.018</x:v>
      </x:c>
      <x:c r="D281" s="9" t="n">
        <x:v>6.5</x:v>
      </x:c>
      <x:c r="E281" s="9" t="n">
        <x:v>11.25</x:v>
      </x:c>
      <x:c r="F281" s="9" t="n">
        <x:v>4</x:v>
      </x:c>
      <x:c r="G281" s="9" t="n">
        <x:v>6.6666666667</x:v>
      </x:c>
      <x:c r="H281" s="9" t="n">
        <x:v>1.1</x:v>
      </x:c>
      <x:c r="I281" s="9" t="n">
        <x:v>1.4285714286</x:v>
      </x:c>
      <x:c r="J281" s="9" t="n">
        <x:v>9.8333333333</x:v>
      </x:c>
      <x:c r="K281" s="9" t="n">
        <x:f>ROUND(SUM(C281:J281),2)</x:f>
        <x:v>41.8</x:v>
      </x:c>
      <x:c r="L281" s="1" t="str">
        <x:f>IF(K281&gt;=70,"High",IF(K281&gt;=45,"Medium","Low"))</x:f>
        <x:v>Low</x:v>
      </x:c>
      <x:c r="M281" s="1"/>
      <x:c r="N281" s="1"/>
      <x:c r="O281" s="1"/>
      <x:c r="P281" s="1"/>
      <x:c r="Q281" s="1"/>
    </x:row>
    <x:row r="282" ht="22" customHeight="1">
      <x:c r="A282" s="1" t="str">
        <x:v>O0433</x:v>
      </x:c>
      <x:c r="B282" s="1" t="str">
        <x:v>Simulated Patna Arts and Science College 433</x:v>
      </x:c>
      <x:c r="C282" s="9" t="n">
        <x:v>1.805</x:v>
      </x:c>
      <x:c r="D282" s="9" t="n">
        <x:v>6.5</x:v>
      </x:c>
      <x:c r="E282" s="9" t="n">
        <x:v>5</x:v>
      </x:c>
      <x:c r="F282" s="9" t="n">
        <x:v>4</x:v>
      </x:c>
      <x:c r="G282" s="9" t="n">
        <x:v>11.25</x:v>
      </x:c>
      <x:c r="H282" s="9" t="n">
        <x:v>1.91</x:v>
      </x:c>
      <x:c r="I282" s="9" t="n">
        <x:v>1.4285714286</x:v>
      </x:c>
      <x:c r="J282" s="9" t="n">
        <x:v>9.8333333333</x:v>
      </x:c>
      <x:c r="K282" s="9" t="n">
        <x:f>ROUND(SUM(C282:J282),2)</x:f>
        <x:v>41.73</x:v>
      </x:c>
      <x:c r="L282" s="1" t="str">
        <x:f>IF(K282&gt;=70,"High",IF(K282&gt;=45,"Medium","Low"))</x:f>
        <x:v>Low</x:v>
      </x:c>
      <x:c r="M282" s="1"/>
      <x:c r="N282" s="1"/>
      <x:c r="O282" s="1"/>
      <x:c r="P282" s="1"/>
      <x:c r="Q282" s="1"/>
    </x:row>
    <x:row r="283" ht="22" customHeight="1">
      <x:c r="A283" s="1" t="str">
        <x:v>O0401</x:v>
      </x:c>
      <x:c r="B283" s="1" t="str">
        <x:v>Simulated Kolkata Management Institute 401</x:v>
      </x:c>
      <x:c r="C283" s="9" t="n">
        <x:v>1.09</x:v>
      </x:c>
      <x:c r="D283" s="9" t="n">
        <x:v>6.5</x:v>
      </x:c>
      <x:c r="E283" s="9" t="n">
        <x:v>10</x:v>
      </x:c>
      <x:c r="F283" s="9" t="n">
        <x:v>4</x:v>
      </x:c>
      <x:c r="G283" s="9" t="n">
        <x:v>9.375</x:v>
      </x:c>
      <x:c r="H283" s="9" t="n">
        <x:v>1.53</x:v>
      </x:c>
      <x:c r="I283" s="9" t="n">
        <x:v>2.5714285714</x:v>
      </x:c>
      <x:c r="J283" s="9" t="n">
        <x:v>6.5</x:v>
      </x:c>
      <x:c r="K283" s="9" t="n">
        <x:f>ROUND(SUM(C283:J283),2)</x:f>
        <x:v>41.57</x:v>
      </x:c>
      <x:c r="L283" s="1" t="str">
        <x:f>IF(K283&gt;=70,"High",IF(K283&gt;=45,"Medium","Low"))</x:f>
        <x:v>Low</x:v>
      </x:c>
      <x:c r="M283" s="1"/>
      <x:c r="N283" s="1"/>
      <x:c r="O283" s="1"/>
      <x:c r="P283" s="1"/>
      <x:c r="Q283" s="1"/>
    </x:row>
    <x:row r="284" ht="22" customHeight="1">
      <x:c r="A284" s="1" t="str">
        <x:v>O0109</x:v>
      </x:c>
      <x:c r="B284" s="1" t="str">
        <x:v>Simulated Ludhiana Engineering College 109</x:v>
      </x:c>
      <x:c r="C284" s="9" t="n">
        <x:v>3.539</x:v>
      </x:c>
      <x:c r="D284" s="9" t="n">
        <x:v>8.5</x:v>
      </x:c>
      <x:c r="E284" s="9" t="n">
        <x:v>6.25</x:v>
      </x:c>
      <x:c r="F284" s="9" t="n">
        <x:v>7</x:v>
      </x:c>
      <x:c r="G284" s="9" t="n">
        <x:v>6</x:v>
      </x:c>
      <x:c r="H284" s="9" t="n">
        <x:v>2.67</x:v>
      </x:c>
      <x:c r="I284" s="9" t="n">
        <x:v>1.4285714286</x:v>
      </x:c>
      <x:c r="J284" s="9" t="n">
        <x:v>6.1666666667</x:v>
      </x:c>
      <x:c r="K284" s="9" t="n">
        <x:f>ROUND(SUM(C284:J284),2)</x:f>
        <x:v>41.55</x:v>
      </x:c>
      <x:c r="L284" s="1" t="str">
        <x:f>IF(K284&gt;=70,"High",IF(K284&gt;=45,"Medium","Low"))</x:f>
        <x:v>Low</x:v>
      </x:c>
      <x:c r="M284" s="1"/>
      <x:c r="N284" s="1"/>
      <x:c r="O284" s="1"/>
      <x:c r="P284" s="1"/>
      <x:c r="Q284" s="1"/>
    </x:row>
    <x:row r="285" ht="22" customHeight="1">
      <x:c r="A285" s="1" t="str">
        <x:v>O0402</x:v>
      </x:c>
      <x:c r="B285" s="1" t="str">
        <x:v>Simulated Bhubaneswar Engineering College 402</x:v>
      </x:c>
      <x:c r="C285" s="9" t="n">
        <x:v>2.825</x:v>
      </x:c>
      <x:c r="D285" s="9" t="n">
        <x:v>6.5</x:v>
      </x:c>
      <x:c r="E285" s="9" t="n">
        <x:v>5</x:v>
      </x:c>
      <x:c r="F285" s="9" t="n">
        <x:v>7</x:v>
      </x:c>
      <x:c r="G285" s="9" t="n">
        <x:v>7.5</x:v>
      </x:c>
      <x:c r="H285" s="9" t="n">
        <x:v>1.57</x:v>
      </x:c>
      <x:c r="I285" s="9" t="n">
        <x:v>4.2857142857</x:v>
      </x:c>
      <x:c r="J285" s="9" t="n">
        <x:v>6.8333333333</x:v>
      </x:c>
      <x:c r="K285" s="9" t="n">
        <x:f>ROUND(SUM(C285:J285),2)</x:f>
        <x:v>41.51</x:v>
      </x:c>
      <x:c r="L285" s="1" t="str">
        <x:f>IF(K285&gt;=70,"High",IF(K285&gt;=45,"Medium","Low"))</x:f>
        <x:v>Low</x:v>
      </x:c>
      <x:c r="M285" s="1"/>
      <x:c r="N285" s="1"/>
      <x:c r="O285" s="1"/>
      <x:c r="P285" s="1"/>
      <x:c r="Q285" s="1"/>
    </x:row>
    <x:row r="286" ht="22" customHeight="1">
      <x:c r="A286" s="1" t="str">
        <x:v>O0216</x:v>
      </x:c>
      <x:c r="B286" s="1" t="str">
        <x:v>Simulated Ahmedabad Arts and Science College 216</x:v>
      </x:c>
      <x:c r="C286" s="9" t="n">
        <x:v>5.789</x:v>
      </x:c>
      <x:c r="D286" s="9" t="n">
        <x:v>8</x:v>
      </x:c>
      <x:c r="E286" s="9" t="n">
        <x:v>3.75</x:v>
      </x:c>
      <x:c r="F286" s="9" t="n">
        <x:v>7</x:v>
      </x:c>
      <x:c r="G286" s="9" t="n">
        <x:v>10</x:v>
      </x:c>
      <x:c r="H286" s="9" t="n">
        <x:v>2.61</x:v>
      </x:c>
      <x:c r="I286" s="9" t="n">
        <x:v>4.2857142857</x:v>
      </x:c>
      <x:c r="J286" s="9" t="n">
        <x:v>0</x:v>
      </x:c>
      <x:c r="K286" s="9" t="n">
        <x:f>ROUND(SUM(C286:J286),2)</x:f>
        <x:v>41.43</x:v>
      </x:c>
      <x:c r="L286" s="1" t="str">
        <x:f>IF(K286&gt;=70,"High",IF(K286&gt;=45,"Medium","Low"))</x:f>
        <x:v>Low</x:v>
      </x:c>
      <x:c r="M286" s="1"/>
      <x:c r="N286" s="1"/>
      <x:c r="O286" s="1"/>
      <x:c r="P286" s="1"/>
      <x:c r="Q286" s="1"/>
    </x:row>
    <x:row r="287" ht="22" customHeight="1">
      <x:c r="A287" s="1" t="str">
        <x:v>O0194</x:v>
      </x:c>
      <x:c r="B287" s="1" t="str">
        <x:v>Simulated Guwahati Arts and Science College 194</x:v>
      </x:c>
      <x:c r="C287" s="9" t="n">
        <x:v>1.723</x:v>
      </x:c>
      <x:c r="D287" s="9" t="n">
        <x:v>5.5</x:v>
      </x:c>
      <x:c r="E287" s="9" t="n">
        <x:v>7.5</x:v>
      </x:c>
      <x:c r="F287" s="9" t="n">
        <x:v>4</x:v>
      </x:c>
      <x:c r="G287" s="9" t="n">
        <x:v>10</x:v>
      </x:c>
      <x:c r="H287" s="9" t="n">
        <x:v>1.55</x:v>
      </x:c>
      <x:c r="I287" s="9" t="n">
        <x:v>1.4285714286</x:v>
      </x:c>
      <x:c r="J287" s="9" t="n">
        <x:v>9.6666666667</x:v>
      </x:c>
      <x:c r="K287" s="9" t="n">
        <x:f>ROUND(SUM(C287:J287),2)</x:f>
        <x:v>41.37</x:v>
      </x:c>
      <x:c r="L287" s="1" t="str">
        <x:f>IF(K287&gt;=70,"High",IF(K287&gt;=45,"Medium","Low"))</x:f>
        <x:v>Low</x:v>
      </x:c>
      <x:c r="M287" s="1"/>
      <x:c r="N287" s="1"/>
      <x:c r="O287" s="1"/>
      <x:c r="P287" s="1"/>
      <x:c r="Q287" s="1"/>
    </x:row>
    <x:row r="288" ht="22" customHeight="1">
      <x:c r="A288" s="1" t="str">
        <x:v>O0530</x:v>
      </x:c>
      <x:c r="B288" s="1" t="str">
        <x:v>Simulated Pune Management Institute 530</x:v>
      </x:c>
      <x:c r="C288" s="9" t="n">
        <x:v>0.952</x:v>
      </x:c>
      <x:c r="D288" s="9" t="n">
        <x:v>8</x:v>
      </x:c>
      <x:c r="E288" s="9" t="n">
        <x:v>10</x:v>
      </x:c>
      <x:c r="F288" s="9" t="n">
        <x:v>4</x:v>
      </x:c>
      <x:c r="G288" s="9" t="n">
        <x:v>7.5</x:v>
      </x:c>
      <x:c r="H288" s="9" t="n">
        <x:v>1.46</x:v>
      </x:c>
      <x:c r="I288" s="9" t="n">
        <x:v>0.4285714286</x:v>
      </x:c>
      <x:c r="J288" s="9" t="n">
        <x:v>9</x:v>
      </x:c>
      <x:c r="K288" s="9" t="n">
        <x:f>ROUND(SUM(C288:J288),2)</x:f>
        <x:v>41.34</x:v>
      </x:c>
      <x:c r="L288" s="1" t="str">
        <x:f>IF(K288&gt;=70,"High",IF(K288&gt;=45,"Medium","Low"))</x:f>
        <x:v>Low</x:v>
      </x:c>
      <x:c r="M288" s="1"/>
      <x:c r="N288" s="1"/>
      <x:c r="O288" s="1"/>
      <x:c r="P288" s="1"/>
      <x:c r="Q288" s="1"/>
    </x:row>
    <x:row r="289" ht="22" customHeight="1">
      <x:c r="A289" s="1" t="str">
        <x:v>O0282</x:v>
      </x:c>
      <x:c r="B289" s="1" t="str">
        <x:v>Simulated Bhubaneswar Engineering College 282</x:v>
      </x:c>
      <x:c r="C289" s="9" t="n">
        <x:v>2.401</x:v>
      </x:c>
      <x:c r="D289" s="9" t="n">
        <x:v>6.5</x:v>
      </x:c>
      <x:c r="E289" s="9" t="n">
        <x:v>3.75</x:v>
      </x:c>
      <x:c r="F289" s="9" t="n">
        <x:v>7</x:v>
      </x:c>
      <x:c r="G289" s="9" t="n">
        <x:v>10</x:v>
      </x:c>
      <x:c r="H289" s="9" t="n">
        <x:v>1.91</x:v>
      </x:c>
      <x:c r="I289" s="9" t="n">
        <x:v>0.4285714286</x:v>
      </x:c>
      <x:c r="J289" s="9" t="n">
        <x:v>9.3333333333</x:v>
      </x:c>
      <x:c r="K289" s="9" t="n">
        <x:f>ROUND(SUM(C289:J289),2)</x:f>
        <x:v>41.32</x:v>
      </x:c>
      <x:c r="L289" s="1" t="str">
        <x:f>IF(K289&gt;=70,"High",IF(K289&gt;=45,"Medium","Low"))</x:f>
        <x:v>Low</x:v>
      </x:c>
      <x:c r="M289" s="1"/>
      <x:c r="N289" s="1"/>
      <x:c r="O289" s="1"/>
      <x:c r="P289" s="1"/>
      <x:c r="Q289" s="1"/>
    </x:row>
    <x:row r="290" ht="22" customHeight="1">
      <x:c r="A290" s="1" t="str">
        <x:v>O0161</x:v>
      </x:c>
      <x:c r="B290" s="1" t="str">
        <x:v>Simulated Kolkata Management Institute 161</x:v>
      </x:c>
      <x:c r="C290" s="9" t="n">
        <x:v>3.809</x:v>
      </x:c>
      <x:c r="D290" s="9" t="n">
        <x:v>6.5</x:v>
      </x:c>
      <x:c r="E290" s="9" t="n">
        <x:v>3.75</x:v>
      </x:c>
      <x:c r="F290" s="9" t="n">
        <x:v>7</x:v>
      </x:c>
      <x:c r="G290" s="9" t="n">
        <x:v>5</x:v>
      </x:c>
      <x:c r="H290" s="9" t="n">
        <x:v>3.43</x:v>
      </x:c>
      <x:c r="I290" s="9" t="n">
        <x:v>7.1428571429</x:v>
      </x:c>
      <x:c r="J290" s="9" t="n">
        <x:v>4.6666666667</x:v>
      </x:c>
      <x:c r="K290" s="9" t="n">
        <x:f>ROUND(SUM(C290:J290),2)</x:f>
        <x:v>41.3</x:v>
      </x:c>
      <x:c r="L290" s="1" t="str">
        <x:f>IF(K290&gt;=70,"High",IF(K290&gt;=45,"Medium","Low"))</x:f>
        <x:v>Low</x:v>
      </x:c>
      <x:c r="M290" s="1"/>
      <x:c r="N290" s="1"/>
      <x:c r="O290" s="1"/>
      <x:c r="P290" s="1"/>
      <x:c r="Q290" s="1"/>
    </x:row>
    <x:row r="291" ht="22" customHeight="1">
      <x:c r="A291" s="1" t="str">
        <x:v>O0359</x:v>
      </x:c>
      <x:c r="B291" s="1" t="str">
        <x:v>Simulated Guwahati Arts and Science College 359</x:v>
      </x:c>
      <x:c r="C291" s="9" t="n">
        <x:v>1.7</x:v>
      </x:c>
      <x:c r="D291" s="9" t="n">
        <x:v>5.5</x:v>
      </x:c>
      <x:c r="E291" s="9" t="n">
        <x:v>11.25</x:v>
      </x:c>
      <x:c r="F291" s="9" t="n">
        <x:v>4</x:v>
      </x:c>
      <x:c r="G291" s="9" t="n">
        <x:v>6.6666666667</x:v>
      </x:c>
      <x:c r="H291" s="9" t="n">
        <x:v>1.71</x:v>
      </x:c>
      <x:c r="I291" s="9" t="n">
        <x:v>0.4285714286</x:v>
      </x:c>
      <x:c r="J291" s="9" t="n">
        <x:v>10</x:v>
      </x:c>
      <x:c r="K291" s="9" t="n">
        <x:f>ROUND(SUM(C291:J291),2)</x:f>
        <x:v>41.26</x:v>
      </x:c>
      <x:c r="L291" s="1" t="str">
        <x:f>IF(K291&gt;=70,"High",IF(K291&gt;=45,"Medium","Low"))</x:f>
        <x:v>Low</x:v>
      </x:c>
      <x:c r="M291" s="1"/>
      <x:c r="N291" s="1"/>
      <x:c r="O291" s="1"/>
      <x:c r="P291" s="1"/>
      <x:c r="Q291" s="1"/>
    </x:row>
    <x:row r="292" ht="22" customHeight="1">
      <x:c r="A292" s="1" t="str">
        <x:v>O0270</x:v>
      </x:c>
      <x:c r="B292" s="1" t="str">
        <x:v>Simulated Indore Management Institute 270</x:v>
      </x:c>
      <x:c r="C292" s="9" t="n">
        <x:v>1.103</x:v>
      </x:c>
      <x:c r="D292" s="9" t="n">
        <x:v>6.5</x:v>
      </x:c>
      <x:c r="E292" s="9" t="n">
        <x:v>7.5</x:v>
      </x:c>
      <x:c r="F292" s="9" t="n">
        <x:v>4</x:v>
      </x:c>
      <x:c r="G292" s="9" t="n">
        <x:v>15</x:v>
      </x:c>
      <x:c r="H292" s="9" t="n">
        <x:v>1.3</x:v>
      </x:c>
      <x:c r="I292" s="9" t="n">
        <x:v>0.4285714286</x:v>
      </x:c>
      <x:c r="J292" s="9" t="n">
        <x:v>5.1666666667</x:v>
      </x:c>
      <x:c r="K292" s="9" t="n">
        <x:f>ROUND(SUM(C292:J292),2)</x:f>
        <x:v>41</x:v>
      </x:c>
      <x:c r="L292" s="1" t="str">
        <x:f>IF(K292&gt;=70,"High",IF(K292&gt;=45,"Medium","Low"))</x:f>
        <x:v>Low</x:v>
      </x:c>
      <x:c r="M292" s="1"/>
      <x:c r="N292" s="1"/>
      <x:c r="O292" s="1"/>
      <x:c r="P292" s="1"/>
      <x:c r="Q292" s="1"/>
    </x:row>
    <x:row r="293" ht="22" customHeight="1">
      <x:c r="A293" s="1" t="str">
        <x:v>O0058</x:v>
      </x:c>
      <x:c r="B293" s="1" t="str">
        <x:v>Simulated Patna Arts and Science College 058</x:v>
      </x:c>
      <x:c r="C293" s="9" t="n">
        <x:v>2.54</x:v>
      </x:c>
      <x:c r="D293" s="9" t="n">
        <x:v>6.5</x:v>
      </x:c>
      <x:c r="E293" s="9" t="n">
        <x:v>6.25</x:v>
      </x:c>
      <x:c r="F293" s="9" t="n">
        <x:v>7</x:v>
      </x:c>
      <x:c r="G293" s="9" t="n">
        <x:v>6</x:v>
      </x:c>
      <x:c r="H293" s="9" t="n">
        <x:v>2.18</x:v>
      </x:c>
      <x:c r="I293" s="9" t="n">
        <x:v>0.4285714286</x:v>
      </x:c>
      <x:c r="J293" s="9" t="n">
        <x:v>10</x:v>
      </x:c>
      <x:c r="K293" s="9" t="n">
        <x:f>ROUND(SUM(C293:J293),2)</x:f>
        <x:v>40.9</x:v>
      </x:c>
      <x:c r="L293" s="1" t="str">
        <x:f>IF(K293&gt;=70,"High",IF(K293&gt;=45,"Medium","Low"))</x:f>
        <x:v>Low</x:v>
      </x:c>
      <x:c r="M293" s="1"/>
      <x:c r="N293" s="1"/>
      <x:c r="O293" s="1"/>
      <x:c r="P293" s="1"/>
      <x:c r="Q293" s="1"/>
    </x:row>
    <x:row r="294" ht="22" customHeight="1">
      <x:c r="A294" s="1" t="str">
        <x:v>O0474</x:v>
      </x:c>
      <x:c r="B294" s="1" t="str">
        <x:v>Simulated Chennai Engineering College 474</x:v>
      </x:c>
      <x:c r="C294" s="9" t="n">
        <x:v>2.675</x:v>
      </x:c>
      <x:c r="D294" s="9" t="n">
        <x:v>9</x:v>
      </x:c>
      <x:c r="E294" s="9" t="n">
        <x:v>5</x:v>
      </x:c>
      <x:c r="F294" s="9" t="n">
        <x:v>7</x:v>
      </x:c>
      <x:c r="G294" s="9" t="n">
        <x:v>3.75</x:v>
      </x:c>
      <x:c r="H294" s="9" t="n">
        <x:v>2.48</x:v>
      </x:c>
      <x:c r="I294" s="9" t="n">
        <x:v>1.4285714286</x:v>
      </x:c>
      <x:c r="J294" s="9" t="n">
        <x:v>9.5</x:v>
      </x:c>
      <x:c r="K294" s="9" t="n">
        <x:f>ROUND(SUM(C294:J294),2)</x:f>
        <x:v>40.83</x:v>
      </x:c>
      <x:c r="L294" s="1" t="str">
        <x:f>IF(K294&gt;=70,"High",IF(K294&gt;=45,"Medium","Low"))</x:f>
        <x:v>Low</x:v>
      </x:c>
      <x:c r="M294" s="1"/>
      <x:c r="N294" s="1"/>
      <x:c r="O294" s="1"/>
      <x:c r="P294" s="1"/>
      <x:c r="Q294" s="1"/>
    </x:row>
    <x:row r="295" ht="22" customHeight="1">
      <x:c r="A295" s="1" t="str">
        <x:v>O0258</x:v>
      </x:c>
      <x:c r="B295" s="1" t="str">
        <x:v>Simulated Gurugram Arts and Science College 258</x:v>
      </x:c>
      <x:c r="C295" s="9" t="n">
        <x:v>2.678</x:v>
      </x:c>
      <x:c r="D295" s="9" t="n">
        <x:v>8.5</x:v>
      </x:c>
      <x:c r="E295" s="9" t="n">
        <x:v>10</x:v>
      </x:c>
      <x:c r="F295" s="9" t="n">
        <x:v>7</x:v>
      </x:c>
      <x:c r="G295" s="9" t="n">
        <x:v>9.375</x:v>
      </x:c>
      <x:c r="H295" s="9" t="n">
        <x:v>1.82</x:v>
      </x:c>
      <x:c r="I295" s="9" t="n">
        <x:v>1.4285714286</x:v>
      </x:c>
      <x:c r="J295" s="9" t="n">
        <x:v>0</x:v>
      </x:c>
      <x:c r="K295" s="9" t="n">
        <x:f>ROUND(SUM(C295:J295),2)</x:f>
        <x:v>40.8</x:v>
      </x:c>
      <x:c r="L295" s="1" t="str">
        <x:f>IF(K295&gt;=70,"High",IF(K295&gt;=45,"Medium","Low"))</x:f>
        <x:v>Low</x:v>
      </x:c>
      <x:c r="M295" s="1"/>
      <x:c r="N295" s="1"/>
      <x:c r="O295" s="1"/>
      <x:c r="P295" s="1"/>
      <x:c r="Q295" s="1"/>
    </x:row>
    <x:row r="296" ht="22" customHeight="1">
      <x:c r="A296" s="1" t="str">
        <x:v>O0127</x:v>
      </x:c>
      <x:c r="B296" s="1" t="str">
        <x:v>Simulated Jaipur Management Institute 127</x:v>
      </x:c>
      <x:c r="C296" s="9" t="n">
        <x:v>0.304</x:v>
      </x:c>
      <x:c r="D296" s="9" t="n">
        <x:v>8</x:v>
      </x:c>
      <x:c r="E296" s="9" t="n">
        <x:v>15</x:v>
      </x:c>
      <x:c r="F296" s="9" t="n">
        <x:v>4</x:v>
      </x:c>
      <x:c r="G296" s="9" t="n">
        <x:v>8.75</x:v>
      </x:c>
      <x:c r="H296" s="9" t="n">
        <x:v>0.92</x:v>
      </x:c>
      <x:c r="I296" s="9" t="n">
        <x:v>0.4285714286</x:v>
      </x:c>
      <x:c r="J296" s="9" t="n">
        <x:v>3.3333333333</x:v>
      </x:c>
      <x:c r="K296" s="9" t="n">
        <x:f>ROUND(SUM(C296:J296),2)</x:f>
        <x:v>40.74</x:v>
      </x:c>
      <x:c r="L296" s="1" t="str">
        <x:f>IF(K296&gt;=70,"High",IF(K296&gt;=45,"Medium","Low"))</x:f>
        <x:v>Low</x:v>
      </x:c>
      <x:c r="M296" s="1"/>
      <x:c r="N296" s="1"/>
      <x:c r="O296" s="1"/>
      <x:c r="P296" s="1"/>
      <x:c r="Q296" s="1"/>
    </x:row>
    <x:row r="297" ht="22" customHeight="1">
      <x:c r="A297" s="1" t="str">
        <x:v>O0475</x:v>
      </x:c>
      <x:c r="B297" s="1" t="str">
        <x:v>Simulated Hyderabad University 475</x:v>
      </x:c>
      <x:c r="C297" s="9" t="n">
        <x:v>7.019</x:v>
      </x:c>
      <x:c r="D297" s="9" t="n">
        <x:v>9</x:v>
      </x:c>
      <x:c r="E297" s="9" t="n">
        <x:v>5</x:v>
      </x:c>
      <x:c r="F297" s="9" t="n">
        <x:v>10</x:v>
      </x:c>
      <x:c r="G297" s="9" t="n">
        <x:v>3.75</x:v>
      </x:c>
      <x:c r="H297" s="9" t="n">
        <x:v>4.51</x:v>
      </x:c>
      <x:c r="I297" s="9" t="n">
        <x:v>1.4285714286</x:v>
      </x:c>
      <x:c r="J297" s="9" t="n">
        <x:v>0</x:v>
      </x:c>
      <x:c r="K297" s="9" t="n">
        <x:f>ROUND(SUM(C297:J297),2)</x:f>
        <x:v>40.71</x:v>
      </x:c>
      <x:c r="L297" s="1" t="str">
        <x:f>IF(K297&gt;=70,"High",IF(K297&gt;=45,"Medium","Low"))</x:f>
        <x:v>Low</x:v>
      </x:c>
      <x:c r="M297" s="1"/>
      <x:c r="N297" s="1"/>
      <x:c r="O297" s="1"/>
      <x:c r="P297" s="1"/>
      <x:c r="Q297" s="1"/>
    </x:row>
    <x:row r="298" ht="22" customHeight="1">
      <x:c r="A298" s="1" t="str">
        <x:v>O0573</x:v>
      </x:c>
      <x:c r="B298" s="1" t="str">
        <x:v>Simulated Gurugram Arts and Science College 573</x:v>
      </x:c>
      <x:c r="C298" s="9" t="n">
        <x:v>0.573</x:v>
      </x:c>
      <x:c r="D298" s="9" t="n">
        <x:v>8.5</x:v>
      </x:c>
      <x:c r="E298" s="9" t="n">
        <x:v>5</x:v>
      </x:c>
      <x:c r="F298" s="9" t="n">
        <x:v>4</x:v>
      </x:c>
      <x:c r="G298" s="9" t="n">
        <x:v>11.25</x:v>
      </x:c>
      <x:c r="H298" s="9" t="n">
        <x:v>1.18</x:v>
      </x:c>
      <x:c r="I298" s="9" t="n">
        <x:v>0.4285714286</x:v>
      </x:c>
      <x:c r="J298" s="9" t="n">
        <x:v>9.5</x:v>
      </x:c>
      <x:c r="K298" s="9" t="n">
        <x:f>ROUND(SUM(C298:J298),2)</x:f>
        <x:v>40.43</x:v>
      </x:c>
      <x:c r="L298" s="1" t="str">
        <x:f>IF(K298&gt;=70,"High",IF(K298&gt;=45,"Medium","Low"))</x:f>
        <x:v>Low</x:v>
      </x:c>
      <x:c r="M298" s="1"/>
      <x:c r="N298" s="1"/>
      <x:c r="O298" s="1"/>
      <x:c r="P298" s="1"/>
      <x:c r="Q298" s="1"/>
    </x:row>
    <x:row r="299" ht="22" customHeight="1">
      <x:c r="A299" s="1" t="str">
        <x:v>O0071</x:v>
      </x:c>
      <x:c r="B299" s="1" t="str">
        <x:v>Simulated Kolkata Engineering College 071</x:v>
      </x:c>
      <x:c r="C299" s="9" t="n">
        <x:v>1.121</x:v>
      </x:c>
      <x:c r="D299" s="9" t="n">
        <x:v>6.5</x:v>
      </x:c>
      <x:c r="E299" s="9" t="n">
        <x:v>3.75</x:v>
      </x:c>
      <x:c r="F299" s="9" t="n">
        <x:v>4</x:v>
      </x:c>
      <x:c r="G299" s="9" t="n">
        <x:v>15</x:v>
      </x:c>
      <x:c r="H299" s="9" t="n">
        <x:v>1.09</x:v>
      </x:c>
      <x:c r="I299" s="9" t="n">
        <x:v>0.4285714286</x:v>
      </x:c>
      <x:c r="J299" s="9" t="n">
        <x:v>8.5</x:v>
      </x:c>
      <x:c r="K299" s="9" t="n">
        <x:f>ROUND(SUM(C299:J299),2)</x:f>
        <x:v>40.39</x:v>
      </x:c>
      <x:c r="L299" s="1" t="str">
        <x:f>IF(K299&gt;=70,"High",IF(K299&gt;=45,"Medium","Low"))</x:f>
        <x:v>Low</x:v>
      </x:c>
      <x:c r="M299" s="1"/>
      <x:c r="N299" s="1"/>
      <x:c r="O299" s="1"/>
      <x:c r="P299" s="1"/>
      <x:c r="Q299" s="1"/>
    </x:row>
    <x:row r="300" ht="22" customHeight="1">
      <x:c r="A300" s="1" t="str">
        <x:v>O0275</x:v>
      </x:c>
      <x:c r="B300" s="1" t="str">
        <x:v>Simulated Pune Engineering College 275</x:v>
      </x:c>
      <x:c r="C300" s="9" t="n">
        <x:v>3.909</x:v>
      </x:c>
      <x:c r="D300" s="9" t="n">
        <x:v>8</x:v>
      </x:c>
      <x:c r="E300" s="9" t="n">
        <x:v>5</x:v>
      </x:c>
      <x:c r="F300" s="9" t="n">
        <x:v>7</x:v>
      </x:c>
      <x:c r="G300" s="9" t="n">
        <x:v>3.75</x:v>
      </x:c>
      <x:c r="H300" s="9" t="n">
        <x:v>2.58</x:v>
      </x:c>
      <x:c r="I300" s="9" t="n">
        <x:v>0.4285714286</x:v>
      </x:c>
      <x:c r="J300" s="9" t="n">
        <x:v>9.3333333333</x:v>
      </x:c>
      <x:c r="K300" s="9" t="n">
        <x:f>ROUND(SUM(C300:J300),2)</x:f>
        <x:v>40</x:v>
      </x:c>
      <x:c r="L300" s="1" t="str">
        <x:f>IF(K300&gt;=70,"High",IF(K300&gt;=45,"Medium","Low"))</x:f>
        <x:v>Low</x:v>
      </x:c>
      <x:c r="M300" s="1"/>
      <x:c r="N300" s="1"/>
      <x:c r="O300" s="1"/>
      <x:c r="P300" s="1"/>
      <x:c r="Q300" s="1"/>
    </x:row>
    <x:row r="301" ht="22" customHeight="1">
      <x:c r="A301" s="1" t="str">
        <x:v>O0072</x:v>
      </x:c>
      <x:c r="B301" s="1" t="str">
        <x:v>Simulated Bhubaneswar Arts and Science College 072</x:v>
      </x:c>
      <x:c r="C301" s="9" t="n">
        <x:v>4.781</x:v>
      </x:c>
      <x:c r="D301" s="9" t="n">
        <x:v>6.5</x:v>
      </x:c>
      <x:c r="E301" s="9" t="n">
        <x:v>7.5</x:v>
      </x:c>
      <x:c r="F301" s="9" t="n">
        <x:v>7</x:v>
      </x:c>
      <x:c r="G301" s="9" t="n">
        <x:v>10</x:v>
      </x:c>
      <x:c r="H301" s="9" t="n">
        <x:v>2.78</x:v>
      </x:c>
      <x:c r="I301" s="9" t="n">
        <x:v>1.4285714286</x:v>
      </x:c>
      <x:c r="J301" s="9" t="n">
        <x:v>0</x:v>
      </x:c>
      <x:c r="K301" s="9" t="n">
        <x:f>ROUND(SUM(C301:J301),2)</x:f>
        <x:v>39.99</x:v>
      </x:c>
      <x:c r="L301" s="1" t="str">
        <x:f>IF(K301&gt;=70,"High",IF(K301&gt;=45,"Medium","Low"))</x:f>
        <x:v>Low</x:v>
      </x:c>
      <x:c r="M301" s="1"/>
      <x:c r="N301" s="1"/>
      <x:c r="O301" s="1"/>
      <x:c r="P301" s="1"/>
      <x:c r="Q301" s="1"/>
    </x:row>
    <x:row r="302" ht="22" customHeight="1">
      <x:c r="A302" s="1" t="str">
        <x:v>O0251</x:v>
      </x:c>
      <x:c r="B302" s="1" t="str">
        <x:v>Simulated Kolkata Management Institute 251</x:v>
      </x:c>
      <x:c r="C302" s="9" t="n">
        <x:v>4.512</x:v>
      </x:c>
      <x:c r="D302" s="9" t="n">
        <x:v>6.5</x:v>
      </x:c>
      <x:c r="E302" s="9" t="n">
        <x:v>7.5</x:v>
      </x:c>
      <x:c r="F302" s="9" t="n">
        <x:v>7</x:v>
      </x:c>
      <x:c r="G302" s="9" t="n">
        <x:v>10</x:v>
      </x:c>
      <x:c r="H302" s="9" t="n">
        <x:v>3.92</x:v>
      </x:c>
      <x:c r="I302" s="9" t="n">
        <x:v>0.4285714286</x:v>
      </x:c>
      <x:c r="J302" s="9" t="n">
        <x:v>0</x:v>
      </x:c>
      <x:c r="K302" s="9" t="n">
        <x:f>ROUND(SUM(C302:J302),2)</x:f>
        <x:v>39.86</x:v>
      </x:c>
      <x:c r="L302" s="1" t="str">
        <x:f>IF(K302&gt;=70,"High",IF(K302&gt;=45,"Medium","Low"))</x:f>
        <x:v>Low</x:v>
      </x:c>
      <x:c r="M302" s="1"/>
      <x:c r="N302" s="1"/>
      <x:c r="O302" s="1"/>
      <x:c r="P302" s="1"/>
      <x:c r="Q302" s="1"/>
    </x:row>
    <x:row r="303" ht="22" customHeight="1">
      <x:c r="A303" s="1" t="str">
        <x:v>O0371</x:v>
      </x:c>
      <x:c r="B303" s="1" t="str">
        <x:v>Simulated Kolkata University 371</x:v>
      </x:c>
      <x:c r="C303" s="9" t="n">
        <x:v>10.435</x:v>
      </x:c>
      <x:c r="D303" s="9" t="n">
        <x:v>6.5</x:v>
      </x:c>
      <x:c r="E303" s="9" t="n">
        <x:v>6.25</x:v>
      </x:c>
      <x:c r="F303" s="9" t="n">
        <x:v>10</x:v>
      </x:c>
      <x:c r="G303" s="9" t="n">
        <x:v>0</x:v>
      </x:c>
      <x:c r="H303" s="9" t="n">
        <x:v>3.72</x:v>
      </x:c>
      <x:c r="I303" s="9" t="n">
        <x:v>2.5714285714</x:v>
      </x:c>
      <x:c r="J303" s="9" t="n">
        <x:v>0.3333333333</x:v>
      </x:c>
      <x:c r="K303" s="9" t="n">
        <x:f>ROUND(SUM(C303:J303),2)</x:f>
        <x:v>39.81</x:v>
      </x:c>
      <x:c r="L303" s="1" t="str">
        <x:f>IF(K303&gt;=70,"High",IF(K303&gt;=45,"Medium","Low"))</x:f>
        <x:v>Low</x:v>
      </x:c>
      <x:c r="M303" s="1"/>
      <x:c r="N303" s="1"/>
      <x:c r="O303" s="1"/>
      <x:c r="P303" s="1"/>
      <x:c r="Q303" s="1"/>
    </x:row>
    <x:row r="304" ht="22" customHeight="1">
      <x:c r="A304" s="1" t="str">
        <x:v>O0370</x:v>
      </x:c>
      <x:c r="B304" s="1" t="str">
        <x:v>Simulated Hyderabad Arts and Science College 370</x:v>
      </x:c>
      <x:c r="C304" s="9" t="n">
        <x:v>0.829</x:v>
      </x:c>
      <x:c r="D304" s="9" t="n">
        <x:v>9</x:v>
      </x:c>
      <x:c r="E304" s="9" t="n">
        <x:v>3.75</x:v>
      </x:c>
      <x:c r="F304" s="9" t="n">
        <x:v>4</x:v>
      </x:c>
      <x:c r="G304" s="9" t="n">
        <x:v>10</x:v>
      </x:c>
      <x:c r="H304" s="9" t="n">
        <x:v>1.17</x:v>
      </x:c>
      <x:c r="I304" s="9" t="n">
        <x:v>2.5714285714</x:v>
      </x:c>
      <x:c r="J304" s="9" t="n">
        <x:v>8.3333333333</x:v>
      </x:c>
      <x:c r="K304" s="9" t="n">
        <x:f>ROUND(SUM(C304:J304),2)</x:f>
        <x:v>39.65</x:v>
      </x:c>
      <x:c r="L304" s="1" t="str">
        <x:f>IF(K304&gt;=70,"High",IF(K304&gt;=45,"Medium","Low"))</x:f>
        <x:v>Low</x:v>
      </x:c>
      <x:c r="M304" s="1"/>
      <x:c r="N304" s="1"/>
      <x:c r="O304" s="1"/>
      <x:c r="P304" s="1"/>
      <x:c r="Q304" s="1"/>
    </x:row>
    <x:row r="305" ht="22" customHeight="1">
      <x:c r="A305" s="1" t="str">
        <x:v>O0553</x:v>
      </x:c>
      <x:c r="B305" s="1" t="str">
        <x:v>Simulated Patna Management Institute 553</x:v>
      </x:c>
      <x:c r="C305" s="9" t="n">
        <x:v>5.353</x:v>
      </x:c>
      <x:c r="D305" s="9" t="n">
        <x:v>6.5</x:v>
      </x:c>
      <x:c r="E305" s="9" t="n">
        <x:v>7.5</x:v>
      </x:c>
      <x:c r="F305" s="9" t="n">
        <x:v>7</x:v>
      </x:c>
      <x:c r="G305" s="9" t="n">
        <x:v>0</x:v>
      </x:c>
      <x:c r="H305" s="9" t="n">
        <x:v>3.7</x:v>
      </x:c>
      <x:c r="I305" s="9" t="n">
        <x:v>0.4285714286</x:v>
      </x:c>
      <x:c r="J305" s="9" t="n">
        <x:v>9.1666666667</x:v>
      </x:c>
      <x:c r="K305" s="9" t="n">
        <x:f>ROUND(SUM(C305:J305),2)</x:f>
        <x:v>39.65</x:v>
      </x:c>
      <x:c r="L305" s="1" t="str">
        <x:f>IF(K305&gt;=70,"High",IF(K305&gt;=45,"Medium","Low"))</x:f>
        <x:v>Low</x:v>
      </x:c>
      <x:c r="M305" s="1"/>
      <x:c r="N305" s="1"/>
      <x:c r="O305" s="1"/>
      <x:c r="P305" s="1"/>
      <x:c r="Q305" s="1"/>
    </x:row>
    <x:row r="306" ht="22" customHeight="1">
      <x:c r="A306" s="1" t="str">
        <x:v>O0551</x:v>
      </x:c>
      <x:c r="B306" s="1" t="str">
        <x:v>Simulated Kolkata University 551</x:v>
      </x:c>
      <x:c r="C306" s="9" t="n">
        <x:v>0.85</x:v>
      </x:c>
      <x:c r="D306" s="9" t="n">
        <x:v>6.5</x:v>
      </x:c>
      <x:c r="E306" s="9" t="n">
        <x:v>11.25</x:v>
      </x:c>
      <x:c r="F306" s="9" t="n">
        <x:v>4</x:v>
      </x:c>
      <x:c r="G306" s="9" t="n">
        <x:v>6.6666666667</x:v>
      </x:c>
      <x:c r="H306" s="9" t="n">
        <x:v>1.27</x:v>
      </x:c>
      <x:c r="I306" s="9" t="n">
        <x:v>0.4285714286</x:v>
      </x:c>
      <x:c r="J306" s="9" t="n">
        <x:v>8.6666666667</x:v>
      </x:c>
      <x:c r="K306" s="9" t="n">
        <x:f>ROUND(SUM(C306:J306),2)</x:f>
        <x:v>39.63</x:v>
      </x:c>
      <x:c r="L306" s="1" t="str">
        <x:f>IF(K306&gt;=70,"High",IF(K306&gt;=45,"Medium","Low"))</x:f>
        <x:v>Low</x:v>
      </x:c>
      <x:c r="M306" s="1"/>
      <x:c r="N306" s="1"/>
      <x:c r="O306" s="1"/>
      <x:c r="P306" s="1"/>
      <x:c r="Q306" s="1"/>
    </x:row>
    <x:row r="307" ht="22" customHeight="1">
      <x:c r="A307" s="1" t="str">
        <x:v>O0240</x:v>
      </x:c>
      <x:c r="B307" s="1" t="str">
        <x:v>Simulated Indore Engineering College 240</x:v>
      </x:c>
      <x:c r="C307" s="9" t="n">
        <x:v>3.469</x:v>
      </x:c>
      <x:c r="D307" s="9" t="n">
        <x:v>6.5</x:v>
      </x:c>
      <x:c r="E307" s="9" t="n">
        <x:v>8.75</x:v>
      </x:c>
      <x:c r="F307" s="9" t="n">
        <x:v>7</x:v>
      </x:c>
      <x:c r="G307" s="9" t="n">
        <x:v>6.4285714286</x:v>
      </x:c>
      <x:c r="H307" s="9" t="n">
        <x:v>3.17</x:v>
      </x:c>
      <x:c r="I307" s="9" t="n">
        <x:v>4.2857142857</x:v>
      </x:c>
      <x:c r="J307" s="9" t="n">
        <x:v>0</x:v>
      </x:c>
      <x:c r="K307" s="9" t="n">
        <x:f>ROUND(SUM(C307:J307),2)</x:f>
        <x:v>39.6</x:v>
      </x:c>
      <x:c r="L307" s="1" t="str">
        <x:f>IF(K307&gt;=70,"High",IF(K307&gt;=45,"Medium","Low"))</x:f>
        <x:v>Low</x:v>
      </x:c>
      <x:c r="M307" s="1"/>
      <x:c r="N307" s="1"/>
      <x:c r="O307" s="1"/>
      <x:c r="P307" s="1"/>
      <x:c r="Q307" s="1"/>
    </x:row>
    <x:row r="308" ht="22" customHeight="1">
      <x:c r="A308" s="1" t="str">
        <x:v>O0536</x:v>
      </x:c>
      <x:c r="B308" s="1" t="str">
        <x:v>Simulated Kolkata Management Institute 536</x:v>
      </x:c>
      <x:c r="C308" s="9" t="n">
        <x:v>1.864</x:v>
      </x:c>
      <x:c r="D308" s="9" t="n">
        <x:v>6.5</x:v>
      </x:c>
      <x:c r="E308" s="9" t="n">
        <x:v>8.75</x:v>
      </x:c>
      <x:c r="F308" s="9" t="n">
        <x:v>4</x:v>
      </x:c>
      <x:c r="G308" s="9" t="n">
        <x:v>6.4285714286</x:v>
      </x:c>
      <x:c r="H308" s="9" t="n">
        <x:v>2.06</x:v>
      </x:c>
      <x:c r="I308" s="9" t="n">
        <x:v>0.4285714286</x:v>
      </x:c>
      <x:c r="J308" s="9" t="n">
        <x:v>9.5</x:v>
      </x:c>
      <x:c r="K308" s="9" t="n">
        <x:f>ROUND(SUM(C308:J308),2)</x:f>
        <x:v>39.53</x:v>
      </x:c>
      <x:c r="L308" s="1" t="str">
        <x:f>IF(K308&gt;=70,"High",IF(K308&gt;=45,"Medium","Low"))</x:f>
        <x:v>Low</x:v>
      </x:c>
      <x:c r="M308" s="1"/>
      <x:c r="N308" s="1"/>
      <x:c r="O308" s="1"/>
      <x:c r="P308" s="1"/>
      <x:c r="Q308" s="1"/>
    </x:row>
    <x:row r="309" ht="22" customHeight="1">
      <x:c r="A309" s="1" t="str">
        <x:v>O0316</x:v>
      </x:c>
      <x:c r="B309" s="1" t="str">
        <x:v>Simulated New Delhi Engineering College 316</x:v>
      </x:c>
      <x:c r="C309" s="9" t="n">
        <x:v>0.33</x:v>
      </x:c>
      <x:c r="D309" s="9" t="n">
        <x:v>8.5</x:v>
      </x:c>
      <x:c r="E309" s="9" t="n">
        <x:v>10</x:v>
      </x:c>
      <x:c r="F309" s="9" t="n">
        <x:v>4</x:v>
      </x:c>
      <x:c r="G309" s="9" t="n">
        <x:v>5.625</x:v>
      </x:c>
      <x:c r="H309" s="9" t="n">
        <x:v>0.94</x:v>
      </x:c>
      <x:c r="I309" s="9" t="n">
        <x:v>0.4285714286</x:v>
      </x:c>
      <x:c r="J309" s="9" t="n">
        <x:v>9.3333333333</x:v>
      </x:c>
      <x:c r="K309" s="9" t="n">
        <x:f>ROUND(SUM(C309:J309),2)</x:f>
        <x:v>39.16</x:v>
      </x:c>
      <x:c r="L309" s="1" t="str">
        <x:f>IF(K309&gt;=70,"High",IF(K309&gt;=45,"Medium","Low"))</x:f>
        <x:v>Low</x:v>
      </x:c>
      <x:c r="M309" s="1"/>
      <x:c r="N309" s="1"/>
      <x:c r="O309" s="1"/>
      <x:c r="P309" s="1"/>
      <x:c r="Q309" s="1"/>
    </x:row>
    <x:row r="310" ht="22" customHeight="1">
      <x:c r="A310" s="1" t="str">
        <x:v>O0595</x:v>
      </x:c>
      <x:c r="B310" s="1" t="str">
        <x:v>Simulated Hyderabad Engineering College 595</x:v>
      </x:c>
      <x:c r="C310" s="9" t="n">
        <x:v>3.106</x:v>
      </x:c>
      <x:c r="D310" s="9" t="n">
        <x:v>9</x:v>
      </x:c>
      <x:c r="E310" s="9" t="n">
        <x:v>3.75</x:v>
      </x:c>
      <x:c r="F310" s="9" t="n">
        <x:v>7</x:v>
      </x:c>
      <x:c r="G310" s="9" t="n">
        <x:v>10</x:v>
      </x:c>
      <x:c r="H310" s="9" t="n">
        <x:v>2</x:v>
      </x:c>
      <x:c r="I310" s="9" t="n">
        <x:v>4.2857142857</x:v>
      </x:c>
      <x:c r="J310" s="9" t="n">
        <x:v>0</x:v>
      </x:c>
      <x:c r="K310" s="9" t="n">
        <x:f>ROUND(SUM(C310:J310),2)</x:f>
        <x:v>39.14</x:v>
      </x:c>
      <x:c r="L310" s="1" t="str">
        <x:f>IF(K310&gt;=70,"High",IF(K310&gt;=45,"Medium","Low"))</x:f>
        <x:v>Low</x:v>
      </x:c>
      <x:c r="M310" s="1"/>
      <x:c r="N310" s="1"/>
      <x:c r="O310" s="1"/>
      <x:c r="P310" s="1"/>
      <x:c r="Q310" s="1"/>
    </x:row>
    <x:row r="311" ht="22" customHeight="1">
      <x:c r="A311" s="1" t="str">
        <x:v>O0512</x:v>
      </x:c>
      <x:c r="B311" s="1" t="str">
        <x:v>Simulated Noida Arts and Science College 512</x:v>
      </x:c>
      <x:c r="C311" s="9" t="n">
        <x:v>5.238</x:v>
      </x:c>
      <x:c r="D311" s="9" t="n">
        <x:v>8.5</x:v>
      </x:c>
      <x:c r="E311" s="9" t="n">
        <x:v>3.75</x:v>
      </x:c>
      <x:c r="F311" s="9" t="n">
        <x:v>7</x:v>
      </x:c>
      <x:c r="G311" s="9" t="n">
        <x:v>5</x:v>
      </x:c>
      <x:c r="H311" s="9" t="n">
        <x:v>2.51</x:v>
      </x:c>
      <x:c r="I311" s="9" t="n">
        <x:v>4.2857142857</x:v>
      </x:c>
      <x:c r="J311" s="9" t="n">
        <x:v>2.8333333333</x:v>
      </x:c>
      <x:c r="K311" s="9" t="n">
        <x:f>ROUND(SUM(C311:J311),2)</x:f>
        <x:v>39.12</x:v>
      </x:c>
      <x:c r="L311" s="1" t="str">
        <x:f>IF(K311&gt;=70,"High",IF(K311&gt;=45,"Medium","Low"))</x:f>
        <x:v>Low</x:v>
      </x:c>
      <x:c r="M311" s="1"/>
      <x:c r="N311" s="1"/>
      <x:c r="O311" s="1"/>
      <x:c r="P311" s="1"/>
      <x:c r="Q311" s="1"/>
    </x:row>
    <x:row r="312" ht="22" customHeight="1">
      <x:c r="A312" s="1" t="str">
        <x:v>O0360</x:v>
      </x:c>
      <x:c r="B312" s="1" t="str">
        <x:v>Simulated Indore Engineering College 360</x:v>
      </x:c>
      <x:c r="C312" s="9" t="n">
        <x:v>1.345</x:v>
      </x:c>
      <x:c r="D312" s="9" t="n">
        <x:v>6.5</x:v>
      </x:c>
      <x:c r="E312" s="9" t="n">
        <x:v>10</x:v>
      </x:c>
      <x:c r="F312" s="9" t="n">
        <x:v>4</x:v>
      </x:c>
      <x:c r="G312" s="9" t="n">
        <x:v>5.625</x:v>
      </x:c>
      <x:c r="H312" s="9" t="n">
        <x:v>1.32</x:v>
      </x:c>
      <x:c r="I312" s="9" t="n">
        <x:v>0.4285714286</x:v>
      </x:c>
      <x:c r="J312" s="9" t="n">
        <x:v>9.8333333333</x:v>
      </x:c>
      <x:c r="K312" s="9" t="n">
        <x:f>ROUND(SUM(C312:J312),2)</x:f>
        <x:v>39.05</x:v>
      </x:c>
      <x:c r="L312" s="1" t="str">
        <x:f>IF(K312&gt;=70,"High",IF(K312&gt;=45,"Medium","Low"))</x:f>
        <x:v>Low</x:v>
      </x:c>
      <x:c r="M312" s="1"/>
      <x:c r="N312" s="1"/>
      <x:c r="O312" s="1"/>
      <x:c r="P312" s="1"/>
      <x:c r="Q312" s="1"/>
    </x:row>
    <x:row r="313" ht="22" customHeight="1">
      <x:c r="A313" s="1" t="str">
        <x:v>O0063</x:v>
      </x:c>
      <x:c r="B313" s="1" t="str">
        <x:v>Simulated Gurugram University 063</x:v>
      </x:c>
      <x:c r="C313" s="9" t="n">
        <x:v>4.968</x:v>
      </x:c>
      <x:c r="D313" s="9" t="n">
        <x:v>8.5</x:v>
      </x:c>
      <x:c r="E313" s="9" t="n">
        <x:v>5</x:v>
      </x:c>
      <x:c r="F313" s="9" t="n">
        <x:v>7</x:v>
      </x:c>
      <x:c r="G313" s="9" t="n">
        <x:v>3.75</x:v>
      </x:c>
      <x:c r="H313" s="9" t="n">
        <x:v>3.38</x:v>
      </x:c>
      <x:c r="I313" s="9" t="n">
        <x:v>0.4285714286</x:v>
      </x:c>
      <x:c r="J313" s="9" t="n">
        <x:v>6</x:v>
      </x:c>
      <x:c r="K313" s="9" t="n">
        <x:f>ROUND(SUM(C313:J313),2)</x:f>
        <x:v>39.03</x:v>
      </x:c>
      <x:c r="L313" s="1" t="str">
        <x:f>IF(K313&gt;=70,"High",IF(K313&gt;=45,"Medium","Low"))</x:f>
        <x:v>Low</x:v>
      </x:c>
      <x:c r="M313" s="1"/>
      <x:c r="N313" s="1"/>
      <x:c r="O313" s="1"/>
      <x:c r="P313" s="1"/>
      <x:c r="Q313" s="1"/>
    </x:row>
    <x:row r="314" ht="22" customHeight="1">
      <x:c r="A314" s="1" t="str">
        <x:v>O0456</x:v>
      </x:c>
      <x:c r="B314" s="1" t="str">
        <x:v>Simulated Ahmedabad Management Institute 456</x:v>
      </x:c>
      <x:c r="C314" s="9" t="n">
        <x:v>0.994</x:v>
      </x:c>
      <x:c r="D314" s="9" t="n">
        <x:v>8</x:v>
      </x:c>
      <x:c r="E314" s="9" t="n">
        <x:v>12.5</x:v>
      </x:c>
      <x:c r="F314" s="9" t="n">
        <x:v>4</x:v>
      </x:c>
      <x:c r="G314" s="9" t="n">
        <x:v>9</x:v>
      </x:c>
      <x:c r="H314" s="9" t="n">
        <x:v>1.42</x:v>
      </x:c>
      <x:c r="I314" s="9" t="n">
        <x:v>0.4285714286</x:v>
      </x:c>
      <x:c r="J314" s="9" t="n">
        <x:v>2.6666666667</x:v>
      </x:c>
      <x:c r="K314" s="9" t="n">
        <x:f>ROUND(SUM(C314:J314),2)</x:f>
        <x:v>39.01</x:v>
      </x:c>
      <x:c r="L314" s="1" t="str">
        <x:f>IF(K314&gt;=70,"High",IF(K314&gt;=45,"Medium","Low"))</x:f>
        <x:v>Low</x:v>
      </x:c>
      <x:c r="M314" s="1"/>
      <x:c r="N314" s="1"/>
      <x:c r="O314" s="1"/>
      <x:c r="P314" s="1"/>
      <x:c r="Q314" s="1"/>
    </x:row>
    <x:row r="315" ht="22" customHeight="1">
      <x:c r="A315" s="1" t="str">
        <x:v>O0503</x:v>
      </x:c>
      <x:c r="B315" s="1" t="str">
        <x:v>Simulated Bengaluru University 503</x:v>
      </x:c>
      <x:c r="C315" s="9" t="n">
        <x:v>1.312</x:v>
      </x:c>
      <x:c r="D315" s="9" t="n">
        <x:v>9</x:v>
      </x:c>
      <x:c r="E315" s="9" t="n">
        <x:v>10</x:v>
      </x:c>
      <x:c r="F315" s="9" t="n">
        <x:v>4</x:v>
      </x:c>
      <x:c r="G315" s="9" t="n">
        <x:v>1.875</x:v>
      </x:c>
      <x:c r="H315" s="9" t="n">
        <x:v>1.57</x:v>
      </x:c>
      <x:c r="I315" s="9" t="n">
        <x:v>1.4285714286</x:v>
      </x:c>
      <x:c r="J315" s="9" t="n">
        <x:v>9.6666666667</x:v>
      </x:c>
      <x:c r="K315" s="9" t="n">
        <x:f>ROUND(SUM(C315:J315),2)</x:f>
        <x:v>38.85</x:v>
      </x:c>
      <x:c r="L315" s="1" t="str">
        <x:f>IF(K315&gt;=70,"High",IF(K315&gt;=45,"Medium","Low"))</x:f>
        <x:v>Low</x:v>
      </x:c>
      <x:c r="M315" s="1"/>
      <x:c r="N315" s="1"/>
      <x:c r="O315" s="1"/>
      <x:c r="P315" s="1"/>
      <x:c r="Q315" s="1"/>
    </x:row>
    <x:row r="316" ht="22" customHeight="1">
      <x:c r="A316" s="1" t="str">
        <x:v>O0419</x:v>
      </x:c>
      <x:c r="B316" s="1" t="str">
        <x:v>Simulated Guwahati Engineering College 419</x:v>
      </x:c>
      <x:c r="C316" s="9" t="n">
        <x:v>1.456</x:v>
      </x:c>
      <x:c r="D316" s="9" t="n">
        <x:v>5.5</x:v>
      </x:c>
      <x:c r="E316" s="9" t="n">
        <x:v>11.25</x:v>
      </x:c>
      <x:c r="F316" s="9" t="n">
        <x:v>4</x:v>
      </x:c>
      <x:c r="G316" s="9" t="n">
        <x:v>8.3333333333</x:v>
      </x:c>
      <x:c r="H316" s="9" t="n">
        <x:v>1.36</x:v>
      </x:c>
      <x:c r="I316" s="9" t="n">
        <x:v>1.4285714286</x:v>
      </x:c>
      <x:c r="J316" s="9" t="n">
        <x:v>5.5</x:v>
      </x:c>
      <x:c r="K316" s="9" t="n">
        <x:f>ROUND(SUM(C316:J316),2)</x:f>
        <x:v>38.83</x:v>
      </x:c>
      <x:c r="L316" s="1" t="str">
        <x:f>IF(K316&gt;=70,"High",IF(K316&gt;=45,"Medium","Low"))</x:f>
        <x:v>Low</x:v>
      </x:c>
      <x:c r="M316" s="1"/>
      <x:c r="N316" s="1"/>
      <x:c r="O316" s="1"/>
      <x:c r="P316" s="1"/>
      <x:c r="Q316" s="1"/>
    </x:row>
    <x:row r="317" ht="22" customHeight="1">
      <x:c r="A317" s="1" t="str">
        <x:v>O0502</x:v>
      </x:c>
      <x:c r="B317" s="1" t="str">
        <x:v>Simulated Jaipur Management Institute 502</x:v>
      </x:c>
      <x:c r="C317" s="9" t="n">
        <x:v>0.753</x:v>
      </x:c>
      <x:c r="D317" s="9" t="n">
        <x:v>8</x:v>
      </x:c>
      <x:c r="E317" s="9" t="n">
        <x:v>12.5</x:v>
      </x:c>
      <x:c r="F317" s="9" t="n">
        <x:v>4</x:v>
      </x:c>
      <x:c r="G317" s="9" t="n">
        <x:v>6</x:v>
      </x:c>
      <x:c r="H317" s="9" t="n">
        <x:v>0.98</x:v>
      </x:c>
      <x:c r="I317" s="9" t="n">
        <x:v>0.4285714286</x:v>
      </x:c>
      <x:c r="J317" s="9" t="n">
        <x:v>6.1666666667</x:v>
      </x:c>
      <x:c r="K317" s="9" t="n">
        <x:f>ROUND(SUM(C317:J317),2)</x:f>
        <x:v>38.83</x:v>
      </x:c>
      <x:c r="L317" s="1" t="str">
        <x:f>IF(K317&gt;=70,"High",IF(K317&gt;=45,"Medium","Low"))</x:f>
        <x:v>Low</x:v>
      </x:c>
      <x:c r="M317" s="1"/>
      <x:c r="N317" s="1"/>
      <x:c r="O317" s="1"/>
      <x:c r="P317" s="1"/>
      <x:c r="Q317" s="1"/>
    </x:row>
    <x:row r="318" ht="22" customHeight="1">
      <x:c r="A318" s="1" t="str">
        <x:v>O0589</x:v>
      </x:c>
      <x:c r="B318" s="1" t="str">
        <x:v>Simulated Ludhiana Engineering College 589</x:v>
      </x:c>
      <x:c r="C318" s="9" t="n">
        <x:v>1.823</x:v>
      </x:c>
      <x:c r="D318" s="9" t="n">
        <x:v>8.5</x:v>
      </x:c>
      <x:c r="E318" s="9" t="n">
        <x:v>6.25</x:v>
      </x:c>
      <x:c r="F318" s="9" t="n">
        <x:v>4</x:v>
      </x:c>
      <x:c r="G318" s="9" t="n">
        <x:v>6</x:v>
      </x:c>
      <x:c r="H318" s="9" t="n">
        <x:v>1.8</x:v>
      </x:c>
      <x:c r="I318" s="9" t="n">
        <x:v>0.4285714286</x:v>
      </x:c>
      <x:c r="J318" s="9" t="n">
        <x:v>10</x:v>
      </x:c>
      <x:c r="K318" s="9" t="n">
        <x:f>ROUND(SUM(C318:J318),2)</x:f>
        <x:v>38.8</x:v>
      </x:c>
      <x:c r="L318" s="1" t="str">
        <x:f>IF(K318&gt;=70,"High",IF(K318&gt;=45,"Medium","Low"))</x:f>
        <x:v>Low</x:v>
      </x:c>
      <x:c r="M318" s="1"/>
      <x:c r="N318" s="1"/>
      <x:c r="O318" s="1"/>
      <x:c r="P318" s="1"/>
      <x:c r="Q318" s="1"/>
    </x:row>
    <x:row r="319" ht="22" customHeight="1">
      <x:c r="A319" s="1" t="str">
        <x:v>O0197</x:v>
      </x:c>
      <x:c r="B319" s="1" t="str">
        <x:v>Simulated Noida Arts and Science College 197</x:v>
      </x:c>
      <x:c r="C319" s="9" t="n">
        <x:v>5.028</x:v>
      </x:c>
      <x:c r="D319" s="9" t="n">
        <x:v>8.5</x:v>
      </x:c>
      <x:c r="E319" s="9" t="n">
        <x:v>3.75</x:v>
      </x:c>
      <x:c r="F319" s="9" t="n">
        <x:v>7</x:v>
      </x:c>
      <x:c r="G319" s="9" t="n">
        <x:v>5</x:v>
      </x:c>
      <x:c r="H319" s="9" t="n">
        <x:v>2.13</x:v>
      </x:c>
      <x:c r="I319" s="9" t="n">
        <x:v>1.4285714286</x:v>
      </x:c>
      <x:c r="J319" s="9" t="n">
        <x:v>5.8333333333</x:v>
      </x:c>
      <x:c r="K319" s="9" t="n">
        <x:f>ROUND(SUM(C319:J319),2)</x:f>
        <x:v>38.67</x:v>
      </x:c>
      <x:c r="L319" s="1" t="str">
        <x:f>IF(K319&gt;=70,"High",IF(K319&gt;=45,"Medium","Low"))</x:f>
        <x:v>Low</x:v>
      </x:c>
      <x:c r="M319" s="1"/>
      <x:c r="N319" s="1"/>
      <x:c r="O319" s="1"/>
      <x:c r="P319" s="1"/>
      <x:c r="Q319" s="1"/>
    </x:row>
    <x:row r="320" ht="22" customHeight="1">
      <x:c r="A320" s="1" t="str">
        <x:v>O0417</x:v>
      </x:c>
      <x:c r="B320" s="1" t="str">
        <x:v>Simulated Bhubaneswar Management Institute 417</x:v>
      </x:c>
      <x:c r="C320" s="9" t="n">
        <x:v>0.502</x:v>
      </x:c>
      <x:c r="D320" s="9" t="n">
        <x:v>6.5</x:v>
      </x:c>
      <x:c r="E320" s="9" t="n">
        <x:v>13.75</x:v>
      </x:c>
      <x:c r="F320" s="9" t="n">
        <x:v>4</x:v>
      </x:c>
      <x:c r="G320" s="9" t="n">
        <x:v>8.1818181818</x:v>
      </x:c>
      <x:c r="H320" s="9" t="n">
        <x:v>0.93</x:v>
      </x:c>
      <x:c r="I320" s="9" t="n">
        <x:v>0.4285714286</x:v>
      </x:c>
      <x:c r="J320" s="9" t="n">
        <x:v>4.3333333333</x:v>
      </x:c>
      <x:c r="K320" s="9" t="n">
        <x:f>ROUND(SUM(C320:J320),2)</x:f>
        <x:v>38.63</x:v>
      </x:c>
      <x:c r="L320" s="1" t="str">
        <x:f>IF(K320&gt;=70,"High",IF(K320&gt;=45,"Medium","Low"))</x:f>
        <x:v>Low</x:v>
      </x:c>
      <x:c r="M320" s="1"/>
      <x:c r="N320" s="1"/>
      <x:c r="O320" s="1"/>
      <x:c r="P320" s="1"/>
      <x:c r="Q320" s="1"/>
    </x:row>
    <x:row r="321" ht="22" customHeight="1">
      <x:c r="A321" s="1" t="str">
        <x:v>O0081</x:v>
      </x:c>
      <x:c r="B321" s="1" t="str">
        <x:v>Simulated Ahmedabad Engineering College 081</x:v>
      </x:c>
      <x:c r="C321" s="9" t="n">
        <x:v>1.139</x:v>
      </x:c>
      <x:c r="D321" s="9" t="n">
        <x:v>8</x:v>
      </x:c>
      <x:c r="E321" s="9" t="n">
        <x:v>10</x:v>
      </x:c>
      <x:c r="F321" s="9" t="n">
        <x:v>4</x:v>
      </x:c>
      <x:c r="G321" s="9" t="n">
        <x:v>3.75</x:v>
      </x:c>
      <x:c r="H321" s="9" t="n">
        <x:v>1.15</x:v>
      </x:c>
      <x:c r="I321" s="9" t="n">
        <x:v>0.4285714286</x:v>
      </x:c>
      <x:c r="J321" s="9" t="n">
        <x:v>10</x:v>
      </x:c>
      <x:c r="K321" s="9" t="n">
        <x:f>ROUND(SUM(C321:J321),2)</x:f>
        <x:v>38.47</x:v>
      </x:c>
      <x:c r="L321" s="1" t="str">
        <x:f>IF(K321&gt;=70,"High",IF(K321&gt;=45,"Medium","Low"))</x:f>
        <x:v>Low</x:v>
      </x:c>
      <x:c r="M321" s="1"/>
      <x:c r="N321" s="1"/>
      <x:c r="O321" s="1"/>
      <x:c r="P321" s="1"/>
      <x:c r="Q321" s="1"/>
    </x:row>
    <x:row r="322" ht="22" customHeight="1">
      <x:c r="A322" s="1" t="str">
        <x:v>O0508</x:v>
      </x:c>
      <x:c r="B322" s="1" t="str">
        <x:v>Simulated Patna Arts and Science College 508</x:v>
      </x:c>
      <x:c r="C322" s="9" t="n">
        <x:v>0.387</x:v>
      </x:c>
      <x:c r="D322" s="9" t="n">
        <x:v>6.5</x:v>
      </x:c>
      <x:c r="E322" s="9" t="n">
        <x:v>8.75</x:v>
      </x:c>
      <x:c r="F322" s="9" t="n">
        <x:v>4</x:v>
      </x:c>
      <x:c r="G322" s="9" t="n">
        <x:v>4.2857142857</x:v>
      </x:c>
      <x:c r="H322" s="9" t="n">
        <x:v>1.03</x:v>
      </x:c>
      <x:c r="I322" s="9" t="n">
        <x:v>4.2857142857</x:v>
      </x:c>
      <x:c r="J322" s="9" t="n">
        <x:v>9.1666666667</x:v>
      </x:c>
      <x:c r="K322" s="9" t="n">
        <x:f>ROUND(SUM(C322:J322),2)</x:f>
        <x:v>38.41</x:v>
      </x:c>
      <x:c r="L322" s="1" t="str">
        <x:f>IF(K322&gt;=70,"High",IF(K322&gt;=45,"Medium","Low"))</x:f>
        <x:v>Low</x:v>
      </x:c>
      <x:c r="M322" s="1"/>
      <x:c r="N322" s="1"/>
      <x:c r="O322" s="1"/>
      <x:c r="P322" s="1"/>
      <x:c r="Q322" s="1"/>
    </x:row>
    <x:row r="323" ht="22" customHeight="1">
      <x:c r="A323" s="1" t="str">
        <x:v>O0330</x:v>
      </x:c>
      <x:c r="B323" s="1" t="str">
        <x:v>Simulated Indore Management Institute 330</x:v>
      </x:c>
      <x:c r="C323" s="9" t="n">
        <x:v>4.943</x:v>
      </x:c>
      <x:c r="D323" s="9" t="n">
        <x:v>6.5</x:v>
      </x:c>
      <x:c r="E323" s="9" t="n">
        <x:v>3.75</x:v>
      </x:c>
      <x:c r="F323" s="9" t="n">
        <x:v>7</x:v>
      </x:c>
      <x:c r="G323" s="9" t="n">
        <x:v>5</x:v>
      </x:c>
      <x:c r="H323" s="9" t="n">
        <x:v>3.77</x:v>
      </x:c>
      <x:c r="I323" s="9" t="n">
        <x:v>0.4285714286</x:v>
      </x:c>
      <x:c r="J323" s="9" t="n">
        <x:v>6.8333333333</x:v>
      </x:c>
      <x:c r="K323" s="9" t="n">
        <x:f>ROUND(SUM(C323:J323),2)</x:f>
        <x:v>38.22</x:v>
      </x:c>
      <x:c r="L323" s="1" t="str">
        <x:f>IF(K323&gt;=70,"High",IF(K323&gt;=45,"Medium","Low"))</x:f>
        <x:v>Low</x:v>
      </x:c>
      <x:c r="M323" s="1"/>
      <x:c r="N323" s="1"/>
      <x:c r="O323" s="1"/>
      <x:c r="P323" s="1"/>
      <x:c r="Q323" s="1"/>
    </x:row>
    <x:row r="324" ht="22" customHeight="1">
      <x:c r="A324" s="1" t="str">
        <x:v>O0407</x:v>
      </x:c>
      <x:c r="B324" s="1" t="str">
        <x:v>Simulated Noida Management Institute 407</x:v>
      </x:c>
      <x:c r="C324" s="9" t="n">
        <x:v>4.081</x:v>
      </x:c>
      <x:c r="D324" s="9" t="n">
        <x:v>8.5</x:v>
      </x:c>
      <x:c r="E324" s="9" t="n">
        <x:v>7.5</x:v>
      </x:c>
      <x:c r="F324" s="9" t="n">
        <x:v>7</x:v>
      </x:c>
      <x:c r="G324" s="9" t="n">
        <x:v>5</x:v>
      </x:c>
      <x:c r="H324" s="9" t="n">
        <x:v>2.65</x:v>
      </x:c>
      <x:c r="I324" s="9" t="n">
        <x:v>1.4285714286</x:v>
      </x:c>
      <x:c r="J324" s="9" t="n">
        <x:v>2</x:v>
      </x:c>
      <x:c r="K324" s="9" t="n">
        <x:f>ROUND(SUM(C324:J324),2)</x:f>
        <x:v>38.16</x:v>
      </x:c>
      <x:c r="L324" s="1" t="str">
        <x:f>IF(K324&gt;=70,"High",IF(K324&gt;=45,"Medium","Low"))</x:f>
        <x:v>Low</x:v>
      </x:c>
      <x:c r="M324" s="1"/>
      <x:c r="N324" s="1"/>
      <x:c r="O324" s="1"/>
      <x:c r="P324" s="1"/>
      <x:c r="Q324" s="1"/>
    </x:row>
    <x:row r="325" ht="22" customHeight="1">
      <x:c r="A325" s="1" t="str">
        <x:v>O0460</x:v>
      </x:c>
      <x:c r="B325" s="1" t="str">
        <x:v>Simulated Hyderabad Arts and Science College 460</x:v>
      </x:c>
      <x:c r="C325" s="9" t="n">
        <x:v>3.713</x:v>
      </x:c>
      <x:c r="D325" s="9" t="n">
        <x:v>9</x:v>
      </x:c>
      <x:c r="E325" s="9" t="n">
        <x:v>7.5</x:v>
      </x:c>
      <x:c r="F325" s="9" t="n">
        <x:v>7</x:v>
      </x:c>
      <x:c r="G325" s="9" t="n">
        <x:v>7.5</x:v>
      </x:c>
      <x:c r="H325" s="9" t="n">
        <x:v>1.83</x:v>
      </x:c>
      <x:c r="I325" s="9" t="n">
        <x:v>1.4285714286</x:v>
      </x:c>
      <x:c r="J325" s="9" t="n">
        <x:v>0</x:v>
      </x:c>
      <x:c r="K325" s="9" t="n">
        <x:f>ROUND(SUM(C325:J325),2)</x:f>
        <x:v>37.97</x:v>
      </x:c>
      <x:c r="L325" s="1" t="str">
        <x:f>IF(K325&gt;=70,"High",IF(K325&gt;=45,"Medium","Low"))</x:f>
        <x:v>Low</x:v>
      </x:c>
      <x:c r="M325" s="1"/>
      <x:c r="N325" s="1"/>
      <x:c r="O325" s="1"/>
      <x:c r="P325" s="1"/>
      <x:c r="Q325" s="1"/>
    </x:row>
    <x:row r="326" ht="22" customHeight="1">
      <x:c r="A326" s="1" t="str">
        <x:v>O0246</x:v>
      </x:c>
      <x:c r="B326" s="1" t="str">
        <x:v>Simulated Ahmedabad Arts and Science College 246</x:v>
      </x:c>
      <x:c r="C326" s="9" t="n">
        <x:v>4.419</x:v>
      </x:c>
      <x:c r="D326" s="9" t="n">
        <x:v>8</x:v>
      </x:c>
      <x:c r="E326" s="9" t="n">
        <x:v>6.25</x:v>
      </x:c>
      <x:c r="F326" s="9" t="n">
        <x:v>7</x:v>
      </x:c>
      <x:c r="G326" s="9" t="n">
        <x:v>3</x:v>
      </x:c>
      <x:c r="H326" s="9" t="n">
        <x:v>1.78</x:v>
      </x:c>
      <x:c r="I326" s="9" t="n">
        <x:v>1.4285714286</x:v>
      </x:c>
      <x:c r="J326" s="9" t="n">
        <x:v>6</x:v>
      </x:c>
      <x:c r="K326" s="9" t="n">
        <x:f>ROUND(SUM(C326:J326),2)</x:f>
        <x:v>37.88</x:v>
      </x:c>
      <x:c r="L326" s="1" t="str">
        <x:f>IF(K326&gt;=70,"High",IF(K326&gt;=45,"Medium","Low"))</x:f>
        <x:v>Low</x:v>
      </x:c>
      <x:c r="M326" s="1"/>
      <x:c r="N326" s="1"/>
      <x:c r="O326" s="1"/>
      <x:c r="P326" s="1"/>
      <x:c r="Q326" s="1"/>
    </x:row>
    <x:row r="327" ht="22" customHeight="1">
      <x:c r="A327" s="1" t="str">
        <x:v>O0192</x:v>
      </x:c>
      <x:c r="B327" s="1" t="str">
        <x:v>Simulated Bhubaneswar Engineering College 192</x:v>
      </x:c>
      <x:c r="C327" s="9" t="n">
        <x:v>3.933</x:v>
      </x:c>
      <x:c r="D327" s="9" t="n">
        <x:v>6.5</x:v>
      </x:c>
      <x:c r="E327" s="9" t="n">
        <x:v>6.25</x:v>
      </x:c>
      <x:c r="F327" s="9" t="n">
        <x:v>7</x:v>
      </x:c>
      <x:c r="G327" s="9" t="n">
        <x:v>9</x:v>
      </x:c>
      <x:c r="H327" s="9" t="n">
        <x:v>2.9</x:v>
      </x:c>
      <x:c r="I327" s="9" t="n">
        <x:v>0.4285714286</x:v>
      </x:c>
      <x:c r="J327" s="9" t="n">
        <x:v>1.8333333333</x:v>
      </x:c>
      <x:c r="K327" s="9" t="n">
        <x:f>ROUND(SUM(C327:J327),2)</x:f>
        <x:v>37.84</x:v>
      </x:c>
      <x:c r="L327" s="1" t="str">
        <x:f>IF(K327&gt;=70,"High",IF(K327&gt;=45,"Medium","Low"))</x:f>
        <x:v>Low</x:v>
      </x:c>
      <x:c r="M327" s="1"/>
      <x:c r="N327" s="1"/>
      <x:c r="O327" s="1"/>
      <x:c r="P327" s="1"/>
      <x:c r="Q327" s="1"/>
    </x:row>
    <x:row r="328" ht="22" customHeight="1">
      <x:c r="A328" s="1" t="str">
        <x:v>O0209</x:v>
      </x:c>
      <x:c r="B328" s="1" t="str">
        <x:v>Simulated Guwahati Arts and Science College 209</x:v>
      </x:c>
      <x:c r="C328" s="9" t="n">
        <x:v>2.836</x:v>
      </x:c>
      <x:c r="D328" s="9" t="n">
        <x:v>5.5</x:v>
      </x:c>
      <x:c r="E328" s="9" t="n">
        <x:v>3.75</x:v>
      </x:c>
      <x:c r="F328" s="9" t="n">
        <x:v>7</x:v>
      </x:c>
      <x:c r="G328" s="9" t="n">
        <x:v>10</x:v>
      </x:c>
      <x:c r="H328" s="9" t="n">
        <x:v>2.35</x:v>
      </x:c>
      <x:c r="I328" s="9" t="n">
        <x:v>0.4285714286</x:v>
      </x:c>
      <x:c r="J328" s="9" t="n">
        <x:v>5.6666666667</x:v>
      </x:c>
      <x:c r="K328" s="9" t="n">
        <x:f>ROUND(SUM(C328:J328),2)</x:f>
        <x:v>37.53</x:v>
      </x:c>
      <x:c r="L328" s="1" t="str">
        <x:f>IF(K328&gt;=70,"High",IF(K328&gt;=45,"Medium","Low"))</x:f>
        <x:v>Low</x:v>
      </x:c>
      <x:c r="M328" s="1"/>
      <x:c r="N328" s="1"/>
      <x:c r="O328" s="1"/>
      <x:c r="P328" s="1"/>
      <x:c r="Q328" s="1"/>
    </x:row>
    <x:row r="329" ht="22" customHeight="1">
      <x:c r="A329" s="1" t="str">
        <x:v>O0133</x:v>
      </x:c>
      <x:c r="B329" s="1" t="str">
        <x:v>Simulated Patna Arts and Science College 133</x:v>
      </x:c>
      <x:c r="C329" s="9" t="n">
        <x:v>1.533</x:v>
      </x:c>
      <x:c r="D329" s="9" t="n">
        <x:v>6.5</x:v>
      </x:c>
      <x:c r="E329" s="9" t="n">
        <x:v>3.75</x:v>
      </x:c>
      <x:c r="F329" s="9" t="n">
        <x:v>4</x:v>
      </x:c>
      <x:c r="G329" s="9" t="n">
        <x:v>10</x:v>
      </x:c>
      <x:c r="H329" s="9" t="n">
        <x:v>1.31</x:v>
      </x:c>
      <x:c r="I329" s="9" t="n">
        <x:v>0.4285714286</x:v>
      </x:c>
      <x:c r="J329" s="9" t="n">
        <x:v>10</x:v>
      </x:c>
      <x:c r="K329" s="9" t="n">
        <x:f>ROUND(SUM(C329:J329),2)</x:f>
        <x:v>37.52</x:v>
      </x:c>
      <x:c r="L329" s="1" t="str">
        <x:f>IF(K329&gt;=70,"High",IF(K329&gt;=45,"Medium","Low"))</x:f>
        <x:v>Low</x:v>
      </x:c>
      <x:c r="M329" s="1"/>
      <x:c r="N329" s="1"/>
      <x:c r="O329" s="1"/>
      <x:c r="P329" s="1"/>
      <x:c r="Q329" s="1"/>
    </x:row>
    <x:row r="330" ht="22" customHeight="1">
      <x:c r="A330" s="1" t="str">
        <x:v>O0227</x:v>
      </x:c>
      <x:c r="B330" s="1" t="str">
        <x:v>Simulated Noida University 227</x:v>
      </x:c>
      <x:c r="C330" s="9" t="n">
        <x:v>0.79</x:v>
      </x:c>
      <x:c r="D330" s="9" t="n">
        <x:v>8.5</x:v>
      </x:c>
      <x:c r="E330" s="9" t="n">
        <x:v>10</x:v>
      </x:c>
      <x:c r="F330" s="9" t="n">
        <x:v>4</x:v>
      </x:c>
      <x:c r="G330" s="9" t="n">
        <x:v>7.5</x:v>
      </x:c>
      <x:c r="H330" s="9" t="n">
        <x:v>1.21</x:v>
      </x:c>
      <x:c r="I330" s="9" t="n">
        <x:v>0.4285714286</x:v>
      </x:c>
      <x:c r="J330" s="9" t="n">
        <x:v>5</x:v>
      </x:c>
      <x:c r="K330" s="9" t="n">
        <x:f>ROUND(SUM(C330:J330),2)</x:f>
        <x:v>37.43</x:v>
      </x:c>
      <x:c r="L330" s="1" t="str">
        <x:f>IF(K330&gt;=70,"High",IF(K330&gt;=45,"Medium","Low"))</x:f>
        <x:v>Low</x:v>
      </x:c>
      <x:c r="M330" s="1"/>
      <x:c r="N330" s="1"/>
      <x:c r="O330" s="1"/>
      <x:c r="P330" s="1"/>
      <x:c r="Q330" s="1"/>
    </x:row>
    <x:row r="331" ht="22" customHeight="1">
      <x:c r="A331" s="1" t="str">
        <x:v>O0411</x:v>
      </x:c>
      <x:c r="B331" s="1" t="str">
        <x:v>Simulated Ahmedabad Arts and Science College 411</x:v>
      </x:c>
      <x:c r="C331" s="9" t="n">
        <x:v>3.247</x:v>
      </x:c>
      <x:c r="D331" s="9" t="n">
        <x:v>8</x:v>
      </x:c>
      <x:c r="E331" s="9" t="n">
        <x:v>10</x:v>
      </x:c>
      <x:c r="F331" s="9" t="n">
        <x:v>7</x:v>
      </x:c>
      <x:c r="G331" s="9" t="n">
        <x:v>1.875</x:v>
      </x:c>
      <x:c r="H331" s="9" t="n">
        <x:v>2</x:v>
      </x:c>
      <x:c r="I331" s="9" t="n">
        <x:v>0.4285714286</x:v>
      </x:c>
      <x:c r="J331" s="9" t="n">
        <x:v>4.8333333333</x:v>
      </x:c>
      <x:c r="K331" s="9" t="n">
        <x:f>ROUND(SUM(C331:J331),2)</x:f>
        <x:v>37.38</x:v>
      </x:c>
      <x:c r="L331" s="1" t="str">
        <x:f>IF(K331&gt;=70,"High",IF(K331&gt;=45,"Medium","Low"))</x:f>
        <x:v>Low</x:v>
      </x:c>
      <x:c r="M331" s="1"/>
      <x:c r="N331" s="1"/>
      <x:c r="O331" s="1"/>
      <x:c r="P331" s="1"/>
      <x:c r="Q331" s="1"/>
    </x:row>
    <x:row r="332" ht="22" customHeight="1">
      <x:c r="A332" s="1" t="str">
        <x:v>O0462</x:v>
      </x:c>
      <x:c r="B332" s="1" t="str">
        <x:v>Simulated Bhubaneswar Management Institute 462</x:v>
      </x:c>
      <x:c r="C332" s="9" t="n">
        <x:v>4.662</x:v>
      </x:c>
      <x:c r="D332" s="9" t="n">
        <x:v>6.5</x:v>
      </x:c>
      <x:c r="E332" s="9" t="n">
        <x:v>5</x:v>
      </x:c>
      <x:c r="F332" s="9" t="n">
        <x:v>7</x:v>
      </x:c>
      <x:c r="G332" s="9" t="n">
        <x:v>0</x:v>
      </x:c>
      <x:c r="H332" s="9" t="n">
        <x:v>1.75</x:v>
      </x:c>
      <x:c r="I332" s="9" t="n">
        <x:v>2.5714285714</x:v>
      </x:c>
      <x:c r="J332" s="9" t="n">
        <x:v>9.6666666667</x:v>
      </x:c>
      <x:c r="K332" s="9" t="n">
        <x:f>ROUND(SUM(C332:J332),2)</x:f>
        <x:v>37.15</x:v>
      </x:c>
      <x:c r="L332" s="1" t="str">
        <x:f>IF(K332&gt;=70,"High",IF(K332&gt;=45,"Medium","Low"))</x:f>
        <x:v>Low</x:v>
      </x:c>
      <x:c r="M332" s="1"/>
      <x:c r="N332" s="1"/>
      <x:c r="O332" s="1"/>
      <x:c r="P332" s="1"/>
      <x:c r="Q332" s="1"/>
    </x:row>
    <x:row r="333" ht="22" customHeight="1">
      <x:c r="A333" s="1" t="str">
        <x:v>O0388</x:v>
      </x:c>
      <x:c r="B333" s="1" t="str">
        <x:v>Simulated Patna Arts and Science College 388</x:v>
      </x:c>
      <x:c r="C333" s="9" t="n">
        <x:v>2.616</x:v>
      </x:c>
      <x:c r="D333" s="9" t="n">
        <x:v>6.5</x:v>
      </x:c>
      <x:c r="E333" s="9" t="n">
        <x:v>5</x:v>
      </x:c>
      <x:c r="F333" s="9" t="n">
        <x:v>7</x:v>
      </x:c>
      <x:c r="G333" s="9" t="n">
        <x:v>11.25</x:v>
      </x:c>
      <x:c r="H333" s="9" t="n">
        <x:v>1.82</x:v>
      </x:c>
      <x:c r="I333" s="9" t="n">
        <x:v>1.4285714286</x:v>
      </x:c>
      <x:c r="J333" s="9" t="n">
        <x:v>1.5</x:v>
      </x:c>
      <x:c r="K333" s="9" t="n">
        <x:f>ROUND(SUM(C333:J333),2)</x:f>
        <x:v>37.11</x:v>
      </x:c>
      <x:c r="L333" s="1" t="str">
        <x:f>IF(K333&gt;=70,"High",IF(K333&gt;=45,"Medium","Low"))</x:f>
        <x:v>Low</x:v>
      </x:c>
      <x:c r="M333" s="1"/>
      <x:c r="N333" s="1"/>
      <x:c r="O333" s="1"/>
      <x:c r="P333" s="1"/>
      <x:c r="Q333" s="1"/>
    </x:row>
    <x:row r="334" ht="22" customHeight="1">
      <x:c r="A334" s="1" t="str">
        <x:v>O0590</x:v>
      </x:c>
      <x:c r="B334" s="1" t="str">
        <x:v>Simulated Pune Engineering College 590</x:v>
      </x:c>
      <x:c r="C334" s="9" t="n">
        <x:v>0.459</x:v>
      </x:c>
      <x:c r="D334" s="9" t="n">
        <x:v>8</x:v>
      </x:c>
      <x:c r="E334" s="9" t="n">
        <x:v>5</x:v>
      </x:c>
      <x:c r="F334" s="9" t="n">
        <x:v>4</x:v>
      </x:c>
      <x:c r="G334" s="9" t="n">
        <x:v>7.5</x:v>
      </x:c>
      <x:c r="H334" s="9" t="n">
        <x:v>0.89</x:v>
      </x:c>
      <x:c r="I334" s="9" t="n">
        <x:v>1.4285714286</x:v>
      </x:c>
      <x:c r="J334" s="9" t="n">
        <x:v>9.8333333333</x:v>
      </x:c>
      <x:c r="K334" s="9" t="n">
        <x:f>ROUND(SUM(C334:J334),2)</x:f>
        <x:v>37.11</x:v>
      </x:c>
      <x:c r="L334" s="1" t="str">
        <x:f>IF(K334&gt;=70,"High",IF(K334&gt;=45,"Medium","Low"))</x:f>
        <x:v>Low</x:v>
      </x:c>
      <x:c r="M334" s="1"/>
      <x:c r="N334" s="1"/>
      <x:c r="O334" s="1"/>
      <x:c r="P334" s="1"/>
      <x:c r="Q334" s="1"/>
    </x:row>
    <x:row r="335" ht="22" customHeight="1">
      <x:c r="A335" s="1" t="str">
        <x:v>O0336</x:v>
      </x:c>
      <x:c r="B335" s="1" t="str">
        <x:v>Simulated Ahmedabad Arts and Science College 336</x:v>
      </x:c>
      <x:c r="C335" s="9" t="n">
        <x:v>3.818</x:v>
      </x:c>
      <x:c r="D335" s="9" t="n">
        <x:v>8</x:v>
      </x:c>
      <x:c r="E335" s="9" t="n">
        <x:v>3.75</x:v>
      </x:c>
      <x:c r="F335" s="9" t="n">
        <x:v>7</x:v>
      </x:c>
      <x:c r="G335" s="9" t="n">
        <x:v>5</x:v>
      </x:c>
      <x:c r="H335" s="9" t="n">
        <x:v>2.2</x:v>
      </x:c>
      <x:c r="I335" s="9" t="n">
        <x:v>7.1428571429</x:v>
      </x:c>
      <x:c r="J335" s="9" t="n">
        <x:v>0</x:v>
      </x:c>
      <x:c r="K335" s="9" t="n">
        <x:f>ROUND(SUM(C335:J335),2)</x:f>
        <x:v>36.91</x:v>
      </x:c>
      <x:c r="L335" s="1" t="str">
        <x:f>IF(K335&gt;=70,"High",IF(K335&gt;=45,"Medium","Low"))</x:f>
        <x:v>Low</x:v>
      </x:c>
      <x:c r="M335" s="1"/>
      <x:c r="N335" s="1"/>
      <x:c r="O335" s="1"/>
      <x:c r="P335" s="1"/>
      <x:c r="Q335" s="1"/>
    </x:row>
    <x:row r="336" ht="22" customHeight="1">
      <x:c r="A336" s="1" t="str">
        <x:v>O0534</x:v>
      </x:c>
      <x:c r="B336" s="1" t="str">
        <x:v>Simulated Chennai Engineering College 534</x:v>
      </x:c>
      <x:c r="C336" s="9" t="n">
        <x:v>0.201</x:v>
      </x:c>
      <x:c r="D336" s="9" t="n">
        <x:v>9</x:v>
      </x:c>
      <x:c r="E336" s="9" t="n">
        <x:v>12.5</x:v>
      </x:c>
      <x:c r="F336" s="9" t="n">
        <x:v>4</x:v>
      </x:c>
      <x:c r="G336" s="9" t="n">
        <x:v>7.5</x:v>
      </x:c>
      <x:c r="H336" s="9" t="n">
        <x:v>0.86</x:v>
      </x:c>
      <x:c r="I336" s="9" t="n">
        <x:v>2.5714285714</x:v>
      </x:c>
      <x:c r="J336" s="9" t="n">
        <x:v>0</x:v>
      </x:c>
      <x:c r="K336" s="9" t="n">
        <x:f>ROUND(SUM(C336:J336),2)</x:f>
        <x:v>36.63</x:v>
      </x:c>
      <x:c r="L336" s="1" t="str">
        <x:f>IF(K336&gt;=70,"High",IF(K336&gt;=45,"Medium","Low"))</x:f>
        <x:v>Low</x:v>
      </x:c>
      <x:c r="M336" s="1"/>
      <x:c r="N336" s="1"/>
      <x:c r="O336" s="1"/>
      <x:c r="P336" s="1"/>
      <x:c r="Q336" s="1"/>
    </x:row>
    <x:row r="337" ht="22" customHeight="1">
      <x:c r="A337" s="1" t="str">
        <x:v>O0378</x:v>
      </x:c>
      <x:c r="B337" s="1" t="str">
        <x:v>Simulated Gurugram Engineering College 378</x:v>
      </x:c>
      <x:c r="C337" s="9" t="n">
        <x:v>2.226</x:v>
      </x:c>
      <x:c r="D337" s="9" t="n">
        <x:v>8.5</x:v>
      </x:c>
      <x:c r="E337" s="9" t="n">
        <x:v>5</x:v>
      </x:c>
      <x:c r="F337" s="9" t="n">
        <x:v>7</x:v>
      </x:c>
      <x:c r="G337" s="9" t="n">
        <x:v>3.75</x:v>
      </x:c>
      <x:c r="H337" s="9" t="n">
        <x:v>1.47</x:v>
      </x:c>
      <x:c r="I337" s="9" t="n">
        <x:v>7.1428571429</x:v>
      </x:c>
      <x:c r="J337" s="9" t="n">
        <x:v>1.5</x:v>
      </x:c>
      <x:c r="K337" s="9" t="n">
        <x:f>ROUND(SUM(C337:J337),2)</x:f>
        <x:v>36.59</x:v>
      </x:c>
      <x:c r="L337" s="1" t="str">
        <x:f>IF(K337&gt;=70,"High",IF(K337&gt;=45,"Medium","Low"))</x:f>
        <x:v>Low</x:v>
      </x:c>
      <x:c r="M337" s="1"/>
      <x:c r="N337" s="1"/>
      <x:c r="O337" s="1"/>
      <x:c r="P337" s="1"/>
      <x:c r="Q337" s="1"/>
    </x:row>
    <x:row r="338" ht="22" customHeight="1">
      <x:c r="A338" s="1" t="str">
        <x:v>O0520</x:v>
      </x:c>
      <x:c r="B338" s="1" t="str">
        <x:v>Simulated Hyderabad Arts and Science College 520</x:v>
      </x:c>
      <x:c r="C338" s="9" t="n">
        <x:v>2.571</x:v>
      </x:c>
      <x:c r="D338" s="9" t="n">
        <x:v>9</x:v>
      </x:c>
      <x:c r="E338" s="9" t="n">
        <x:v>3.75</x:v>
      </x:c>
      <x:c r="F338" s="9" t="n">
        <x:v>7</x:v>
      </x:c>
      <x:c r="G338" s="9" t="n">
        <x:v>5</x:v>
      </x:c>
      <x:c r="H338" s="9" t="n">
        <x:v>2.37</x:v>
      </x:c>
      <x:c r="I338" s="9" t="n">
        <x:v>1.4285714286</x:v>
      </x:c>
      <x:c r="J338" s="9" t="n">
        <x:v>5</x:v>
      </x:c>
      <x:c r="K338" s="9" t="n">
        <x:f>ROUND(SUM(C338:J338),2)</x:f>
        <x:v>36.12</x:v>
      </x:c>
      <x:c r="L338" s="1" t="str">
        <x:f>IF(K338&gt;=70,"High",IF(K338&gt;=45,"Medium","Low"))</x:f>
        <x:v>Low</x:v>
      </x:c>
      <x:c r="M338" s="1"/>
      <x:c r="N338" s="1"/>
      <x:c r="O338" s="1"/>
      <x:c r="P338" s="1"/>
      <x:c r="Q338" s="1"/>
    </x:row>
    <x:row r="339" ht="22" customHeight="1">
      <x:c r="A339" s="1" t="str">
        <x:v>O0320</x:v>
      </x:c>
      <x:c r="B339" s="1" t="str">
        <x:v>Simulated Pune Management Institute 320</x:v>
      </x:c>
      <x:c r="C339" s="9" t="n">
        <x:v>4.758</x:v>
      </x:c>
      <x:c r="D339" s="9" t="n">
        <x:v>8</x:v>
      </x:c>
      <x:c r="E339" s="9" t="n">
        <x:v>6.25</x:v>
      </x:c>
      <x:c r="F339" s="9" t="n">
        <x:v>7</x:v>
      </x:c>
      <x:c r="G339" s="9" t="n">
        <x:v>6</x:v>
      </x:c>
      <x:c r="H339" s="9" t="n">
        <x:v>3.39</x:v>
      </x:c>
      <x:c r="I339" s="9" t="n">
        <x:v>0.4285714286</x:v>
      </x:c>
      <x:c r="J339" s="9" t="n">
        <x:v>0</x:v>
      </x:c>
      <x:c r="K339" s="9" t="n">
        <x:f>ROUND(SUM(C339:J339),2)</x:f>
        <x:v>35.83</x:v>
      </x:c>
      <x:c r="L339" s="1" t="str">
        <x:f>IF(K339&gt;=70,"High",IF(K339&gt;=45,"Medium","Low"))</x:f>
        <x:v>Low</x:v>
      </x:c>
      <x:c r="M339" s="1"/>
      <x:c r="N339" s="1"/>
      <x:c r="O339" s="1"/>
      <x:c r="P339" s="1"/>
      <x:c r="Q339" s="1"/>
    </x:row>
    <x:row r="340" ht="22" customHeight="1">
      <x:c r="A340" s="1" t="str">
        <x:v>O0102</x:v>
      </x:c>
      <x:c r="B340" s="1" t="str">
        <x:v>Simulated Bhubaneswar Engineering College 102</x:v>
      </x:c>
      <x:c r="C340" s="9" t="n">
        <x:v>1.424</x:v>
      </x:c>
      <x:c r="D340" s="9" t="n">
        <x:v>6.5</x:v>
      </x:c>
      <x:c r="E340" s="9" t="n">
        <x:v>6.25</x:v>
      </x:c>
      <x:c r="F340" s="9" t="n">
        <x:v>4</x:v>
      </x:c>
      <x:c r="G340" s="9" t="n">
        <x:v>6</x:v>
      </x:c>
      <x:c r="H340" s="9" t="n">
        <x:v>1.32</x:v>
      </x:c>
      <x:c r="I340" s="9" t="n">
        <x:v>1.4285714286</x:v>
      </x:c>
      <x:c r="J340" s="9" t="n">
        <x:v>8.8333333333</x:v>
      </x:c>
      <x:c r="K340" s="9" t="n">
        <x:f>ROUND(SUM(C340:J340),2)</x:f>
        <x:v>35.76</x:v>
      </x:c>
      <x:c r="L340" s="1" t="str">
        <x:f>IF(K340&gt;=70,"High",IF(K340&gt;=45,"Medium","Low"))</x:f>
        <x:v>Low</x:v>
      </x:c>
      <x:c r="M340" s="1"/>
      <x:c r="N340" s="1"/>
      <x:c r="O340" s="1"/>
      <x:c r="P340" s="1"/>
      <x:c r="Q340" s="1"/>
    </x:row>
    <x:row r="341" ht="22" customHeight="1">
      <x:c r="A341" s="1" t="str">
        <x:v>O0296</x:v>
      </x:c>
      <x:c r="B341" s="1" t="str">
        <x:v>Simulated Kolkata Engineering College 296</x:v>
      </x:c>
      <x:c r="C341" s="9" t="n">
        <x:v>3.943</x:v>
      </x:c>
      <x:c r="D341" s="9" t="n">
        <x:v>6.5</x:v>
      </x:c>
      <x:c r="E341" s="9" t="n">
        <x:v>3.75</x:v>
      </x:c>
      <x:c r="F341" s="9" t="n">
        <x:v>7</x:v>
      </x:c>
      <x:c r="G341" s="9" t="n">
        <x:v>5</x:v>
      </x:c>
      <x:c r="H341" s="9" t="n">
        <x:v>2.81</x:v>
      </x:c>
      <x:c r="I341" s="9" t="n">
        <x:v>4.2857142857</x:v>
      </x:c>
      <x:c r="J341" s="9" t="n">
        <x:v>2.1666666667</x:v>
      </x:c>
      <x:c r="K341" s="9" t="n">
        <x:f>ROUND(SUM(C341:J341),2)</x:f>
        <x:v>35.46</x:v>
      </x:c>
      <x:c r="L341" s="1" t="str">
        <x:f>IF(K341&gt;=70,"High",IF(K341&gt;=45,"Medium","Low"))</x:f>
        <x:v>Low</x:v>
      </x:c>
      <x:c r="M341" s="1"/>
      <x:c r="N341" s="1"/>
      <x:c r="O341" s="1"/>
      <x:c r="P341" s="1"/>
      <x:c r="Q341" s="1"/>
    </x:row>
    <x:row r="342" ht="22" customHeight="1">
      <x:c r="A342" s="1" t="str">
        <x:v>O0432</x:v>
      </x:c>
      <x:c r="B342" s="1" t="str">
        <x:v>Simulated Bhubaneswar Arts and Science College 432</x:v>
      </x:c>
      <x:c r="C342" s="9" t="n">
        <x:v>4.429</x:v>
      </x:c>
      <x:c r="D342" s="9" t="n">
        <x:v>6.5</x:v>
      </x:c>
      <x:c r="E342" s="9" t="n">
        <x:v>3.75</x:v>
      </x:c>
      <x:c r="F342" s="9" t="n">
        <x:v>7</x:v>
      </x:c>
      <x:c r="G342" s="9" t="n">
        <x:v>5</x:v>
      </x:c>
      <x:c r="H342" s="9" t="n">
        <x:v>1.97</x:v>
      </x:c>
      <x:c r="I342" s="9" t="n">
        <x:v>4.2857142857</x:v>
      </x:c>
      <x:c r="J342" s="9" t="n">
        <x:v>2.1666666667</x:v>
      </x:c>
      <x:c r="K342" s="9" t="n">
        <x:f>ROUND(SUM(C342:J342),2)</x:f>
        <x:v>35.1</x:v>
      </x:c>
      <x:c r="L342" s="1" t="str">
        <x:f>IF(K342&gt;=70,"High",IF(K342&gt;=45,"Medium","Low"))</x:f>
        <x:v>Low</x:v>
      </x:c>
      <x:c r="M342" s="1"/>
      <x:c r="N342" s="1"/>
      <x:c r="O342" s="1"/>
      <x:c r="P342" s="1"/>
      <x:c r="Q342" s="1"/>
    </x:row>
    <x:row r="343" ht="22" customHeight="1">
      <x:c r="A343" s="1" t="str">
        <x:v>O0458</x:v>
      </x:c>
      <x:c r="B343" s="1" t="str">
        <x:v>Simulated Bengaluru Engineering College 458</x:v>
      </x:c>
      <x:c r="C343" s="9" t="n">
        <x:v>1.017</x:v>
      </x:c>
      <x:c r="D343" s="9" t="n">
        <x:v>9</x:v>
      </x:c>
      <x:c r="E343" s="9" t="n">
        <x:v>6.25</x:v>
      </x:c>
      <x:c r="F343" s="9" t="n">
        <x:v>4</x:v>
      </x:c>
      <x:c r="G343" s="9" t="n">
        <x:v>9</x:v>
      </x:c>
      <x:c r="H343" s="9" t="n">
        <x:v>1.42</x:v>
      </x:c>
      <x:c r="I343" s="9" t="n">
        <x:v>4.2857142857</x:v>
      </x:c>
      <x:c r="J343" s="9" t="n">
        <x:v>0</x:v>
      </x:c>
      <x:c r="K343" s="9" t="n">
        <x:f>ROUND(SUM(C343:J343),2)</x:f>
        <x:v>34.97</x:v>
      </x:c>
      <x:c r="L343" s="1" t="str">
        <x:f>IF(K343&gt;=70,"High",IF(K343&gt;=45,"Medium","Low"))</x:f>
        <x:v>Low</x:v>
      </x:c>
      <x:c r="M343" s="1"/>
      <x:c r="N343" s="1"/>
      <x:c r="O343" s="1"/>
      <x:c r="P343" s="1"/>
      <x:c r="Q343" s="1"/>
    </x:row>
    <x:row r="344" ht="22" customHeight="1">
      <x:c r="A344" s="1" t="str">
        <x:v>O0295</x:v>
      </x:c>
      <x:c r="B344" s="1" t="str">
        <x:v>Simulated Hyderabad Arts and Science College 295</x:v>
      </x:c>
      <x:c r="C344" s="9" t="n">
        <x:v>3.626</x:v>
      </x:c>
      <x:c r="D344" s="9" t="n">
        <x:v>9</x:v>
      </x:c>
      <x:c r="E344" s="9" t="n">
        <x:v>3.75</x:v>
      </x:c>
      <x:c r="F344" s="9" t="n">
        <x:v>7</x:v>
      </x:c>
      <x:c r="G344" s="9" t="n">
        <x:v>0</x:v>
      </x:c>
      <x:c r="H344" s="9" t="n">
        <x:v>2.8</x:v>
      </x:c>
      <x:c r="I344" s="9" t="n">
        <x:v>2.5714285714</x:v>
      </x:c>
      <x:c r="J344" s="9" t="n">
        <x:v>6.1666666667</x:v>
      </x:c>
      <x:c r="K344" s="9" t="n">
        <x:f>ROUND(SUM(C344:J344),2)</x:f>
        <x:v>34.91</x:v>
      </x:c>
      <x:c r="L344" s="1" t="str">
        <x:f>IF(K344&gt;=70,"High",IF(K344&gt;=45,"Medium","Low"))</x:f>
        <x:v>Low</x:v>
      </x:c>
      <x:c r="M344" s="1"/>
      <x:c r="N344" s="1"/>
      <x:c r="O344" s="1"/>
      <x:c r="P344" s="1"/>
      <x:c r="Q344" s="1"/>
    </x:row>
    <x:row r="345" ht="22" customHeight="1">
      <x:c r="A345" s="1" t="str">
        <x:v>O0403</x:v>
      </x:c>
      <x:c r="B345" s="1" t="str">
        <x:v>Simulated Patna Management Institute 403</x:v>
      </x:c>
      <x:c r="C345" s="9" t="n">
        <x:v>1.081</x:v>
      </x:c>
      <x:c r="D345" s="9" t="n">
        <x:v>6.5</x:v>
      </x:c>
      <x:c r="E345" s="9" t="n">
        <x:v>15</x:v>
      </x:c>
      <x:c r="F345" s="9" t="n">
        <x:v>4</x:v>
      </x:c>
      <x:c r="G345" s="9" t="n">
        <x:v>6.25</x:v>
      </x:c>
      <x:c r="H345" s="9" t="n">
        <x:v>1.11</x:v>
      </x:c>
      <x:c r="I345" s="9" t="n">
        <x:v>0.4285714286</x:v>
      </x:c>
      <x:c r="J345" s="9" t="n">
        <x:v>0.5</x:v>
      </x:c>
      <x:c r="K345" s="9" t="n">
        <x:f>ROUND(SUM(C345:J345),2)</x:f>
        <x:v>34.87</x:v>
      </x:c>
      <x:c r="L345" s="1" t="str">
        <x:f>IF(K345&gt;=70,"High",IF(K345&gt;=45,"Medium","Low"))</x:f>
        <x:v>Low</x:v>
      </x:c>
      <x:c r="M345" s="1"/>
      <x:c r="N345" s="1"/>
      <x:c r="O345" s="1"/>
      <x:c r="P345" s="1"/>
      <x:c r="Q345" s="1"/>
    </x:row>
    <x:row r="346" ht="22" customHeight="1">
      <x:c r="A346" s="1" t="str">
        <x:v>O0205</x:v>
      </x:c>
      <x:c r="B346" s="1" t="str">
        <x:v>Simulated Hyderabad Management Institute 205</x:v>
      </x:c>
      <x:c r="C346" s="9" t="n">
        <x:v>0.277</x:v>
      </x:c>
      <x:c r="D346" s="9" t="n">
        <x:v>9</x:v>
      </x:c>
      <x:c r="E346" s="9" t="n">
        <x:v>7.5</x:v>
      </x:c>
      <x:c r="F346" s="9" t="n">
        <x:v>4</x:v>
      </x:c>
      <x:c r="G346" s="9" t="n">
        <x:v>2.5</x:v>
      </x:c>
      <x:c r="H346" s="9" t="n">
        <x:v>0.9</x:v>
      </x:c>
      <x:c r="I346" s="9" t="n">
        <x:v>0.4285714286</x:v>
      </x:c>
      <x:c r="J346" s="9" t="n">
        <x:v>10</x:v>
      </x:c>
      <x:c r="K346" s="9" t="n">
        <x:f>ROUND(SUM(C346:J346),2)</x:f>
        <x:v>34.61</x:v>
      </x:c>
      <x:c r="L346" s="1" t="str">
        <x:f>IF(K346&gt;=70,"High",IF(K346&gt;=45,"Medium","Low"))</x:f>
        <x:v>Low</x:v>
      </x:c>
      <x:c r="M346" s="1"/>
      <x:c r="N346" s="1"/>
      <x:c r="O346" s="1"/>
      <x:c r="P346" s="1"/>
      <x:c r="Q346" s="1"/>
    </x:row>
    <x:row r="347" ht="22" customHeight="1">
      <x:c r="A347" s="1" t="str">
        <x:v>O0120</x:v>
      </x:c>
      <x:c r="B347" s="1" t="str">
        <x:v>Simulated Indore University 120</x:v>
      </x:c>
      <x:c r="C347" s="9" t="n">
        <x:v>1.185</x:v>
      </x:c>
      <x:c r="D347" s="9" t="n">
        <x:v>6.5</x:v>
      </x:c>
      <x:c r="E347" s="9" t="n">
        <x:v>3.75</x:v>
      </x:c>
      <x:c r="F347" s="9" t="n">
        <x:v>4</x:v>
      </x:c>
      <x:c r="G347" s="9" t="n">
        <x:v>5</x:v>
      </x:c>
      <x:c r="H347" s="9" t="n">
        <x:v>1.51</x:v>
      </x:c>
      <x:c r="I347" s="9" t="n">
        <x:v>4.2857142857</x:v>
      </x:c>
      <x:c r="J347" s="9" t="n">
        <x:v>8.1666666667</x:v>
      </x:c>
      <x:c r="K347" s="9" t="n">
        <x:f>ROUND(SUM(C347:J347),2)</x:f>
        <x:v>34.4</x:v>
      </x:c>
      <x:c r="L347" s="1" t="str">
        <x:f>IF(K347&gt;=70,"High",IF(K347&gt;=45,"Medium","Low"))</x:f>
        <x:v>Low</x:v>
      </x:c>
      <x:c r="M347" s="1"/>
      <x:c r="N347" s="1"/>
      <x:c r="O347" s="1"/>
      <x:c r="P347" s="1"/>
      <x:c r="Q347" s="1"/>
    </x:row>
    <x:row r="348" ht="22" customHeight="1">
      <x:c r="A348" s="1" t="str">
        <x:v>O0278</x:v>
      </x:c>
      <x:c r="B348" s="1" t="str">
        <x:v>Simulated Bengaluru Engineering College 278</x:v>
      </x:c>
      <x:c r="C348" s="9" t="n">
        <x:v>4.325</x:v>
      </x:c>
      <x:c r="D348" s="9" t="n">
        <x:v>9</x:v>
      </x:c>
      <x:c r="E348" s="9" t="n">
        <x:v>3.75</x:v>
      </x:c>
      <x:c r="F348" s="9" t="n">
        <x:v>7</x:v>
      </x:c>
      <x:c r="G348" s="9" t="n">
        <x:v>5</x:v>
      </x:c>
      <x:c r="H348" s="9" t="n">
        <x:v>2.38</x:v>
      </x:c>
      <x:c r="I348" s="9" t="n">
        <x:v>2.5714285714</x:v>
      </x:c>
      <x:c r="J348" s="9" t="n">
        <x:v>0</x:v>
      </x:c>
      <x:c r="K348" s="9" t="n">
        <x:f>ROUND(SUM(C348:J348),2)</x:f>
        <x:v>34.03</x:v>
      </x:c>
      <x:c r="L348" s="1" t="str">
        <x:f>IF(K348&gt;=70,"High",IF(K348&gt;=45,"Medium","Low"))</x:f>
        <x:v>Low</x:v>
      </x:c>
      <x:c r="M348" s="1"/>
      <x:c r="N348" s="1"/>
      <x:c r="O348" s="1"/>
      <x:c r="P348" s="1"/>
      <x:c r="Q348" s="1"/>
    </x:row>
    <x:row r="349" ht="22" customHeight="1">
      <x:c r="A349" s="1" t="str">
        <x:v>O0472</x:v>
      </x:c>
      <x:c r="B349" s="1" t="str">
        <x:v>Simulated Jaipur Management Institute 472</x:v>
      </x:c>
      <x:c r="C349" s="9" t="n">
        <x:v>1.54</x:v>
      </x:c>
      <x:c r="D349" s="9" t="n">
        <x:v>8</x:v>
      </x:c>
      <x:c r="E349" s="9" t="n">
        <x:v>3.75</x:v>
      </x:c>
      <x:c r="F349" s="9" t="n">
        <x:v>4</x:v>
      </x:c>
      <x:c r="G349" s="9" t="n">
        <x:v>5</x:v>
      </x:c>
      <x:c r="H349" s="9" t="n">
        <x:v>1.28</x:v>
      </x:c>
      <x:c r="I349" s="9" t="n">
        <x:v>0.4285714286</x:v>
      </x:c>
      <x:c r="J349" s="9" t="n">
        <x:v>10</x:v>
      </x:c>
      <x:c r="K349" s="9" t="n">
        <x:f>ROUND(SUM(C349:J349),2)</x:f>
        <x:v>34</x:v>
      </x:c>
      <x:c r="L349" s="1" t="str">
        <x:f>IF(K349&gt;=70,"High",IF(K349&gt;=45,"Medium","Low"))</x:f>
        <x:v>Low</x:v>
      </x:c>
      <x:c r="M349" s="1"/>
      <x:c r="N349" s="1"/>
      <x:c r="O349" s="1"/>
      <x:c r="P349" s="1"/>
      <x:c r="Q349" s="1"/>
    </x:row>
    <x:row r="350" ht="22" customHeight="1">
      <x:c r="A350" s="1" t="str">
        <x:v>O0587</x:v>
      </x:c>
      <x:c r="B350" s="1" t="str">
        <x:v>Simulated Noida Management Institute 587</x:v>
      </x:c>
      <x:c r="C350" s="9" t="n">
        <x:v>1.898</x:v>
      </x:c>
      <x:c r="D350" s="9" t="n">
        <x:v>8.5</x:v>
      </x:c>
      <x:c r="E350" s="9" t="n">
        <x:v>6.25</x:v>
      </x:c>
      <x:c r="F350" s="9" t="n">
        <x:v>4</x:v>
      </x:c>
      <x:c r="G350" s="9" t="n">
        <x:v>3</x:v>
      </x:c>
      <x:c r="H350" s="9" t="n">
        <x:v>1.28</x:v>
      </x:c>
      <x:c r="I350" s="9" t="n">
        <x:v>2.5714285714</x:v>
      </x:c>
      <x:c r="J350" s="9" t="n">
        <x:v>6.3333333333</x:v>
      </x:c>
      <x:c r="K350" s="9" t="n">
        <x:f>ROUND(SUM(C350:J350),2)</x:f>
        <x:v>33.83</x:v>
      </x:c>
      <x:c r="L350" s="1" t="str">
        <x:f>IF(K350&gt;=70,"High",IF(K350&gt;=45,"Medium","Low"))</x:f>
        <x:v>Low</x:v>
      </x:c>
      <x:c r="M350" s="1"/>
      <x:c r="N350" s="1"/>
      <x:c r="O350" s="1"/>
      <x:c r="P350" s="1"/>
      <x:c r="Q350" s="1"/>
    </x:row>
    <x:row r="351" ht="22" customHeight="1">
      <x:c r="A351" s="1" t="str">
        <x:v>O0546</x:v>
      </x:c>
      <x:c r="B351" s="1" t="str">
        <x:v>Simulated Ahmedabad Engineering College 546</x:v>
      </x:c>
      <x:c r="C351" s="9" t="n">
        <x:v>1.581</x:v>
      </x:c>
      <x:c r="D351" s="9" t="n">
        <x:v>8</x:v>
      </x:c>
      <x:c r="E351" s="9" t="n">
        <x:v>3.75</x:v>
      </x:c>
      <x:c r="F351" s="9" t="n">
        <x:v>4</x:v>
      </x:c>
      <x:c r="G351" s="9" t="n">
        <x:v>5</x:v>
      </x:c>
      <x:c r="H351" s="9" t="n">
        <x:v>1.42</x:v>
      </x:c>
      <x:c r="I351" s="9" t="n">
        <x:v>10</x:v>
      </x:c>
      <x:c r="J351" s="9" t="n">
        <x:v>0</x:v>
      </x:c>
      <x:c r="K351" s="9" t="n">
        <x:f>ROUND(SUM(C351:J351),2)</x:f>
        <x:v>33.75</x:v>
      </x:c>
      <x:c r="L351" s="1" t="str">
        <x:f>IF(K351&gt;=70,"High",IF(K351&gt;=45,"Medium","Low"))</x:f>
        <x:v>Low</x:v>
      </x:c>
      <x:c r="M351" s="1"/>
      <x:c r="N351" s="1"/>
      <x:c r="O351" s="1"/>
      <x:c r="P351" s="1"/>
      <x:c r="Q351" s="1"/>
    </x:row>
    <x:row r="352" ht="22" customHeight="1">
      <x:c r="A352" s="1" t="str">
        <x:v>O0479</x:v>
      </x:c>
      <x:c r="B352" s="1" t="str">
        <x:v>Simulated Guwahati Management Institute 479</x:v>
      </x:c>
      <x:c r="C352" s="9" t="n">
        <x:v>0.453</x:v>
      </x:c>
      <x:c r="D352" s="9" t="n">
        <x:v>5.5</x:v>
      </x:c>
      <x:c r="E352" s="9" t="n">
        <x:v>3.75</x:v>
      </x:c>
      <x:c r="F352" s="9" t="n">
        <x:v>4</x:v>
      </x:c>
      <x:c r="G352" s="9" t="n">
        <x:v>5</x:v>
      </x:c>
      <x:c r="H352" s="9" t="n">
        <x:v>1.04</x:v>
      </x:c>
      <x:c r="I352" s="9" t="n">
        <x:v>4.2857142857</x:v>
      </x:c>
      <x:c r="J352" s="9" t="n">
        <x:v>8.6666666667</x:v>
      </x:c>
      <x:c r="K352" s="9" t="n">
        <x:f>ROUND(SUM(C352:J352),2)</x:f>
        <x:v>32.7</x:v>
      </x:c>
      <x:c r="L352" s="1" t="str">
        <x:f>IF(K352&gt;=70,"High",IF(K352&gt;=45,"Medium","Low"))</x:f>
        <x:v>Low</x:v>
      </x:c>
      <x:c r="M352" s="1"/>
      <x:c r="N352" s="1"/>
      <x:c r="O352" s="1"/>
      <x:c r="P352" s="1"/>
      <x:c r="Q352" s="1"/>
    </x:row>
    <x:row r="353" ht="22" customHeight="1">
      <x:c r="A353" s="1" t="str">
        <x:v>O0362</x:v>
      </x:c>
      <x:c r="B353" s="1" t="str">
        <x:v>Simulated Noida Management Institute 362</x:v>
      </x:c>
      <x:c r="C353" s="9" t="n">
        <x:v>0.26</x:v>
      </x:c>
      <x:c r="D353" s="9" t="n">
        <x:v>8.5</x:v>
      </x:c>
      <x:c r="E353" s="9" t="n">
        <x:v>3.75</x:v>
      </x:c>
      <x:c r="F353" s="9" t="n">
        <x:v>4</x:v>
      </x:c>
      <x:c r="G353" s="9" t="n">
        <x:v>10</x:v>
      </x:c>
      <x:c r="H353" s="9" t="n">
        <x:v>0.9</x:v>
      </x:c>
      <x:c r="I353" s="9" t="n">
        <x:v>0.4285714286</x:v>
      </x:c>
      <x:c r="J353" s="9" t="n">
        <x:v>4.5</x:v>
      </x:c>
      <x:c r="K353" s="9" t="n">
        <x:f>ROUND(SUM(C353:J353),2)</x:f>
        <x:v>32.34</x:v>
      </x:c>
      <x:c r="L353" s="1" t="str">
        <x:f>IF(K353&gt;=70,"High",IF(K353&gt;=45,"Medium","Low"))</x:f>
        <x:v>Low</x:v>
      </x:c>
      <x:c r="M353" s="1"/>
      <x:c r="N353" s="1"/>
      <x:c r="O353" s="1"/>
      <x:c r="P353" s="1"/>
      <x:c r="Q353" s="1"/>
    </x:row>
    <x:row r="354" ht="22" customHeight="1">
      <x:c r="A354" s="1" t="str">
        <x:v>O0322</x:v>
      </x:c>
      <x:c r="B354" s="1" t="str">
        <x:v>Simulated Jaipur Arts and Science College 322</x:v>
      </x:c>
      <x:c r="C354" s="9" t="n">
        <x:v>0.365</x:v>
      </x:c>
      <x:c r="D354" s="9" t="n">
        <x:v>8</x:v>
      </x:c>
      <x:c r="E354" s="9" t="n">
        <x:v>15</x:v>
      </x:c>
      <x:c r="F354" s="9" t="n">
        <x:v>4</x:v>
      </x:c>
      <x:c r="G354" s="9" t="n">
        <x:v>2.5</x:v>
      </x:c>
      <x:c r="H354" s="9" t="n">
        <x:v>0.89</x:v>
      </x:c>
      <x:c r="I354" s="9" t="n">
        <x:v>1.4285714286</x:v>
      </x:c>
      <x:c r="J354" s="9" t="n">
        <x:v>0</x:v>
      </x:c>
      <x:c r="K354" s="9" t="n">
        <x:f>ROUND(SUM(C354:J354),2)</x:f>
        <x:v>32.18</x:v>
      </x:c>
      <x:c r="L354" s="1" t="str">
        <x:f>IF(K354&gt;=70,"High",IF(K354&gt;=45,"Medium","Low"))</x:f>
        <x:v>Low</x:v>
      </x:c>
      <x:c r="M354" s="1"/>
      <x:c r="N354" s="1"/>
      <x:c r="O354" s="1"/>
      <x:c r="P354" s="1"/>
      <x:c r="Q354" s="1"/>
    </x:row>
    <x:row r="355" ht="22" customHeight="1">
      <x:c r="A355" s="1" t="str">
        <x:v>O0171</x:v>
      </x:c>
      <x:c r="B355" s="1" t="str">
        <x:v>Simulated Ahmedabad Arts and Science College 171</x:v>
      </x:c>
      <x:c r="C355" s="9" t="n">
        <x:v>2.732</x:v>
      </x:c>
      <x:c r="D355" s="9" t="n">
        <x:v>8</x:v>
      </x:c>
      <x:c r="E355" s="9" t="n">
        <x:v>5</x:v>
      </x:c>
      <x:c r="F355" s="9" t="n">
        <x:v>7</x:v>
      </x:c>
      <x:c r="G355" s="9" t="n">
        <x:v>3.75</x:v>
      </x:c>
      <x:c r="H355" s="9" t="n">
        <x:v>1.92</x:v>
      </x:c>
      <x:c r="I355" s="9" t="n">
        <x:v>1.4285714286</x:v>
      </x:c>
      <x:c r="J355" s="9" t="n">
        <x:v>2.3333333333</x:v>
      </x:c>
      <x:c r="K355" s="9" t="n">
        <x:f>ROUND(SUM(C355:J355),2)</x:f>
        <x:v>32.16</x:v>
      </x:c>
      <x:c r="L355" s="1" t="str">
        <x:f>IF(K355&gt;=70,"High",IF(K355&gt;=45,"Medium","Low"))</x:f>
        <x:v>Low</x:v>
      </x:c>
      <x:c r="M355" s="1"/>
      <x:c r="N355" s="1"/>
      <x:c r="O355" s="1"/>
      <x:c r="P355" s="1"/>
      <x:c r="Q355" s="1"/>
    </x:row>
    <x:row r="356" ht="22" customHeight="1">
      <x:c r="A356" s="1" t="str">
        <x:v>O0437</x:v>
      </x:c>
      <x:c r="B356" s="1" t="str">
        <x:v>Simulated Noida Arts and Science College 437</x:v>
      </x:c>
      <x:c r="C356" s="9" t="n">
        <x:v>0.692</x:v>
      </x:c>
      <x:c r="D356" s="9" t="n">
        <x:v>8.5</x:v>
      </x:c>
      <x:c r="E356" s="9" t="n">
        <x:v>3.75</x:v>
      </x:c>
      <x:c r="F356" s="9" t="n">
        <x:v>4</x:v>
      </x:c>
      <x:c r="G356" s="9" t="n">
        <x:v>10</x:v>
      </x:c>
      <x:c r="H356" s="9" t="n">
        <x:v>1.09</x:v>
      </x:c>
      <x:c r="I356" s="9" t="n">
        <x:v>1.4285714286</x:v>
      </x:c>
      <x:c r="J356" s="9" t="n">
        <x:v>2.5</x:v>
      </x:c>
      <x:c r="K356" s="9" t="n">
        <x:f>ROUND(SUM(C356:J356),2)</x:f>
        <x:v>31.96</x:v>
      </x:c>
      <x:c r="L356" s="1" t="str">
        <x:f>IF(K356&gt;=70,"High",IF(K356&gt;=45,"Medium","Low"))</x:f>
        <x:v>Low</x:v>
      </x:c>
      <x:c r="M356" s="1"/>
      <x:c r="N356" s="1"/>
      <x:c r="O356" s="1"/>
      <x:c r="P356" s="1"/>
      <x:c r="Q356" s="1"/>
    </x:row>
    <x:row r="357" ht="22" customHeight="1">
      <x:c r="A357" s="1" t="str">
        <x:v>O0157</x:v>
      </x:c>
      <x:c r="B357" s="1" t="str">
        <x:v>Simulated Jaipur Engineering College 157</x:v>
      </x:c>
      <x:c r="C357" s="9" t="n">
        <x:v>4.451</x:v>
      </x:c>
      <x:c r="D357" s="9" t="n">
        <x:v>8</x:v>
      </x:c>
      <x:c r="E357" s="9" t="n">
        <x:v>3.75</x:v>
      </x:c>
      <x:c r="F357" s="9" t="n">
        <x:v>7</x:v>
      </x:c>
      <x:c r="G357" s="9" t="n">
        <x:v>5</x:v>
      </x:c>
      <x:c r="H357" s="9" t="n">
        <x:v>2.78</x:v>
      </x:c>
      <x:c r="I357" s="9" t="n">
        <x:v>0.4285714286</x:v>
      </x:c>
      <x:c r="J357" s="9" t="n">
        <x:v>0</x:v>
      </x:c>
      <x:c r="K357" s="9" t="n">
        <x:f>ROUND(SUM(C357:J357),2)</x:f>
        <x:v>31.41</x:v>
      </x:c>
      <x:c r="L357" s="1" t="str">
        <x:f>IF(K357&gt;=70,"High",IF(K357&gt;=45,"Medium","Low"))</x:f>
        <x:v>Low</x:v>
      </x:c>
      <x:c r="M357" s="1"/>
      <x:c r="N357" s="1"/>
      <x:c r="O357" s="1"/>
      <x:c r="P357" s="1"/>
      <x:c r="Q357" s="1"/>
    </x:row>
    <x:row r="358" ht="22" customHeight="1">
      <x:c r="A358" s="1" t="str">
        <x:v>O0527</x:v>
      </x:c>
      <x:c r="B358" s="1" t="str">
        <x:v>Simulated Noida Arts and Science College 527</x:v>
      </x:c>
      <x:c r="C358" s="9" t="n">
        <x:v>1.136</x:v>
      </x:c>
      <x:c r="D358" s="9" t="n">
        <x:v>8.5</x:v>
      </x:c>
      <x:c r="E358" s="9" t="n">
        <x:v>7.5</x:v>
      </x:c>
      <x:c r="F358" s="9" t="n">
        <x:v>4</x:v>
      </x:c>
      <x:c r="G358" s="9" t="n">
        <x:v>7.5</x:v>
      </x:c>
      <x:c r="H358" s="9" t="n">
        <x:v>1.34</x:v>
      </x:c>
      <x:c r="I358" s="9" t="n">
        <x:v>1.4285714286</x:v>
      </x:c>
      <x:c r="J358" s="9" t="n">
        <x:v>0</x:v>
      </x:c>
      <x:c r="K358" s="9" t="n">
        <x:f>ROUND(SUM(C358:J358),2)</x:f>
        <x:v>31.4</x:v>
      </x:c>
      <x:c r="L358" s="1" t="str">
        <x:f>IF(K358&gt;=70,"High",IF(K358&gt;=45,"Medium","Low"))</x:f>
        <x:v>Low</x:v>
      </x:c>
      <x:c r="M358" s="1"/>
      <x:c r="N358" s="1"/>
      <x:c r="O358" s="1"/>
      <x:c r="P358" s="1"/>
      <x:c r="Q358" s="1"/>
    </x:row>
    <x:row r="359" ht="22" customHeight="1">
      <x:c r="A359" s="1" t="str">
        <x:v>O0165</x:v>
      </x:c>
      <x:c r="B359" s="1" t="str">
        <x:v>Simulated Indore Management Institute 165</x:v>
      </x:c>
      <x:c r="C359" s="9" t="n">
        <x:v>0.611</x:v>
      </x:c>
      <x:c r="D359" s="9" t="n">
        <x:v>6.5</x:v>
      </x:c>
      <x:c r="E359" s="9" t="n">
        <x:v>7.5</x:v>
      </x:c>
      <x:c r="F359" s="9" t="n">
        <x:v>4</x:v>
      </x:c>
      <x:c r="G359" s="9" t="n">
        <x:v>7.5</x:v>
      </x:c>
      <x:c r="H359" s="9" t="n">
        <x:v>0.95</x:v>
      </x:c>
      <x:c r="I359" s="9" t="n">
        <x:v>4.2857142857</x:v>
      </x:c>
      <x:c r="J359" s="9" t="n">
        <x:v>0</x:v>
      </x:c>
      <x:c r="K359" s="9" t="n">
        <x:f>ROUND(SUM(C359:J359),2)</x:f>
        <x:v>31.35</x:v>
      </x:c>
      <x:c r="L359" s="1" t="str">
        <x:f>IF(K359&gt;=70,"High",IF(K359&gt;=45,"Medium","Low"))</x:f>
        <x:v>Low</x:v>
      </x:c>
      <x:c r="M359" s="1"/>
      <x:c r="N359" s="1"/>
      <x:c r="O359" s="1"/>
      <x:c r="P359" s="1"/>
      <x:c r="Q359" s="1"/>
    </x:row>
    <x:row r="360" ht="22" customHeight="1">
      <x:c r="A360" s="1" t="str">
        <x:v>O0267</x:v>
      </x:c>
      <x:c r="B360" s="1" t="str">
        <x:v>Simulated Bhubaneswar Arts and Science College 267</x:v>
      </x:c>
      <x:c r="C360" s="9" t="n">
        <x:v>2</x:v>
      </x:c>
      <x:c r="D360" s="9" t="n">
        <x:v>6.5</x:v>
      </x:c>
      <x:c r="E360" s="9" t="n">
        <x:v>3.75</x:v>
      </x:c>
      <x:c r="F360" s="9" t="n">
        <x:v>7</x:v>
      </x:c>
      <x:c r="G360" s="9" t="n">
        <x:v>10</x:v>
      </x:c>
      <x:c r="H360" s="9" t="n">
        <x:v>1.58</x:v>
      </x:c>
      <x:c r="I360" s="9" t="n">
        <x:v>0.4285714286</x:v>
      </x:c>
      <x:c r="J360" s="9" t="n">
        <x:v>0</x:v>
      </x:c>
      <x:c r="K360" s="9" t="n">
        <x:f>ROUND(SUM(C360:J360),2)</x:f>
        <x:v>31.26</x:v>
      </x:c>
      <x:c r="L360" s="1" t="str">
        <x:f>IF(K360&gt;=70,"High",IF(K360&gt;=45,"Medium","Low"))</x:f>
        <x:v>Low</x:v>
      </x:c>
      <x:c r="M360" s="1"/>
      <x:c r="N360" s="1"/>
      <x:c r="O360" s="1"/>
      <x:c r="P360" s="1"/>
      <x:c r="Q360" s="1"/>
    </x:row>
    <x:row r="361" ht="22" customHeight="1">
      <x:c r="A361" s="1" t="str">
        <x:v>O0284</x:v>
      </x:c>
      <x:c r="B361" s="1" t="str">
        <x:v>Simulated Guwahati Arts and Science College 284</x:v>
      </x:c>
      <x:c r="C361" s="9" t="n">
        <x:v>1.164</x:v>
      </x:c>
      <x:c r="D361" s="9" t="n">
        <x:v>5.5</x:v>
      </x:c>
      <x:c r="E361" s="9" t="n">
        <x:v>3.75</x:v>
      </x:c>
      <x:c r="F361" s="9" t="n">
        <x:v>4</x:v>
      </x:c>
      <x:c r="G361" s="9" t="n">
        <x:v>5</x:v>
      </x:c>
      <x:c r="H361" s="9" t="n">
        <x:v>1.06</x:v>
      </x:c>
      <x:c r="I361" s="9" t="n">
        <x:v>0.4285714286</x:v>
      </x:c>
      <x:c r="J361" s="9" t="n">
        <x:v>9.6666666667</x:v>
      </x:c>
      <x:c r="K361" s="9" t="n">
        <x:f>ROUND(SUM(C361:J361),2)</x:f>
        <x:v>30.57</x:v>
      </x:c>
      <x:c r="L361" s="1" t="str">
        <x:f>IF(K361&gt;=70,"High",IF(K361&gt;=45,"Medium","Low"))</x:f>
        <x:v>Low</x:v>
      </x:c>
      <x:c r="M361" s="1"/>
      <x:c r="N361" s="1"/>
      <x:c r="O361" s="1"/>
      <x:c r="P361" s="1"/>
      <x:c r="Q361" s="1"/>
    </x:row>
    <x:row r="362" ht="22" customHeight="1">
      <x:c r="A362" s="1" t="str">
        <x:v>O0506</x:v>
      </x:c>
      <x:c r="B362" s="1" t="str">
        <x:v>Simulated Kolkata Engineering College 506</x:v>
      </x:c>
      <x:c r="C362" s="9" t="n">
        <x:v>4.173</x:v>
      </x:c>
      <x:c r="D362" s="9" t="n">
        <x:v>6.5</x:v>
      </x:c>
      <x:c r="E362" s="9" t="n">
        <x:v>5</x:v>
      </x:c>
      <x:c r="F362" s="9" t="n">
        <x:v>7</x:v>
      </x:c>
      <x:c r="G362" s="9" t="n">
        <x:v>3.75</x:v>
      </x:c>
      <x:c r="H362" s="9" t="n">
        <x:v>1.69</x:v>
      </x:c>
      <x:c r="I362" s="9" t="n">
        <x:v>0.4285714286</x:v>
      </x:c>
      <x:c r="J362" s="9" t="n">
        <x:v>1.8333333333</x:v>
      </x:c>
      <x:c r="K362" s="9" t="n">
        <x:f>ROUND(SUM(C362:J362),2)</x:f>
        <x:v>30.37</x:v>
      </x:c>
      <x:c r="L362" s="1" t="str">
        <x:f>IF(K362&gt;=70,"High",IF(K362&gt;=45,"Medium","Low"))</x:f>
        <x:v>Low</x:v>
      </x:c>
      <x:c r="M362" s="1"/>
      <x:c r="N362" s="1"/>
      <x:c r="O362" s="1"/>
      <x:c r="P362" s="1"/>
      <x:c r="Q362" s="1"/>
    </x:row>
    <x:row r="363" ht="22" customHeight="1">
      <x:c r="A363" s="1" t="str">
        <x:v>O0354</x:v>
      </x:c>
      <x:c r="B363" s="1" t="str">
        <x:v>Simulated Chennai Management Institute 354</x:v>
      </x:c>
      <x:c r="C363" s="9" t="n">
        <x:v>1.586</x:v>
      </x:c>
      <x:c r="D363" s="9" t="n">
        <x:v>9</x:v>
      </x:c>
      <x:c r="E363" s="9" t="n">
        <x:v>3.75</x:v>
      </x:c>
      <x:c r="F363" s="9" t="n">
        <x:v>4</x:v>
      </x:c>
      <x:c r="G363" s="9" t="n">
        <x:v>10</x:v>
      </x:c>
      <x:c r="H363" s="9" t="n">
        <x:v>1.22</x:v>
      </x:c>
      <x:c r="I363" s="9" t="n">
        <x:v>0.4285714286</x:v>
      </x:c>
      <x:c r="J363" s="9" t="n">
        <x:v>0</x:v>
      </x:c>
      <x:c r="K363" s="9" t="n">
        <x:f>ROUND(SUM(C363:J363),2)</x:f>
        <x:v>29.98</x:v>
      </x:c>
      <x:c r="L363" s="1" t="str">
        <x:f>IF(K363&gt;=70,"High",IF(K363&gt;=45,"Medium","Low"))</x:f>
        <x:v>Low</x:v>
      </x:c>
      <x:c r="M363" s="1"/>
      <x:c r="N363" s="1"/>
      <x:c r="O363" s="1"/>
      <x:c r="P363" s="1"/>
      <x:c r="Q363" s="1"/>
    </x:row>
    <x:row r="364" ht="22" customHeight="1">
      <x:c r="A364" s="1" t="str">
        <x:v>O0121</x:v>
      </x:c>
      <x:c r="B364" s="1" t="str">
        <x:v>Simulated New Delhi Management Institute 121</x:v>
      </x:c>
      <x:c r="C364" s="9" t="n">
        <x:v>1.095</x:v>
      </x:c>
      <x:c r="D364" s="9" t="n">
        <x:v>8.5</x:v>
      </x:c>
      <x:c r="E364" s="9" t="n">
        <x:v>3.75</x:v>
      </x:c>
      <x:c r="F364" s="9" t="n">
        <x:v>4</x:v>
      </x:c>
      <x:c r="G364" s="9" t="n">
        <x:v>10</x:v>
      </x:c>
      <x:c r="H364" s="9" t="n">
        <x:v>1.16</x:v>
      </x:c>
      <x:c r="I364" s="9" t="n">
        <x:v>0.4285714286</x:v>
      </x:c>
      <x:c r="J364" s="9" t="n">
        <x:v>0</x:v>
      </x:c>
      <x:c r="K364" s="9" t="n">
        <x:f>ROUND(SUM(C364:J364),2)</x:f>
        <x:v>28.93</x:v>
      </x:c>
      <x:c r="L364" s="1" t="str">
        <x:f>IF(K364&gt;=70,"High",IF(K364&gt;=45,"Medium","Low"))</x:f>
        <x:v>Low</x:v>
      </x:c>
      <x:c r="M364" s="1"/>
      <x:c r="N364" s="1"/>
      <x:c r="O364" s="1"/>
      <x:c r="P364" s="1"/>
      <x:c r="Q364" s="1"/>
    </x:row>
    <x:row r="365" ht="22" customHeight="1">
      <x:c r="A365" s="1" t="str">
        <x:v>O0327</x:v>
      </x:c>
      <x:c r="B365" s="1" t="str">
        <x:v>Simulated Bhubaneswar Management Institute 327</x:v>
      </x:c>
      <x:c r="C365" s="9" t="n">
        <x:v>0.678</x:v>
      </x:c>
      <x:c r="D365" s="9" t="n">
        <x:v>6.5</x:v>
      </x:c>
      <x:c r="E365" s="9" t="n">
        <x:v>5</x:v>
      </x:c>
      <x:c r="F365" s="9" t="n">
        <x:v>4</x:v>
      </x:c>
      <x:c r="G365" s="9" t="n">
        <x:v>3.75</x:v>
      </x:c>
      <x:c r="H365" s="9" t="n">
        <x:v>1</x:v>
      </x:c>
      <x:c r="I365" s="9" t="n">
        <x:v>2.5714285714</x:v>
      </x:c>
      <x:c r="J365" s="9" t="n">
        <x:v>5</x:v>
      </x:c>
      <x:c r="K365" s="9" t="n">
        <x:f>ROUND(SUM(C365:J365),2)</x:f>
        <x:v>28.5</x:v>
      </x:c>
      <x:c r="L365" s="1" t="str">
        <x:f>IF(K365&gt;=70,"High",IF(K365&gt;=45,"Medium","Low"))</x:f>
        <x:v>Low</x:v>
      </x:c>
      <x:c r="M365" s="1"/>
      <x:c r="N365" s="1"/>
      <x:c r="O365" s="1"/>
      <x:c r="P365" s="1"/>
      <x:c r="Q365" s="1"/>
    </x:row>
    <x:row r="366" ht="22" customHeight="1">
      <x:c r="A366" s="1" t="str">
        <x:v>O0324</x:v>
      </x:c>
      <x:c r="B366" s="1" t="str">
        <x:v>Simulated Chennai Arts and Science College 324</x:v>
      </x:c>
      <x:c r="C366" s="9" t="n">
        <x:v>0.361</x:v>
      </x:c>
      <x:c r="D366" s="9" t="n">
        <x:v>9</x:v>
      </x:c>
      <x:c r="E366" s="9" t="n">
        <x:v>7.5</x:v>
      </x:c>
      <x:c r="F366" s="9" t="n">
        <x:v>4</x:v>
      </x:c>
      <x:c r="G366" s="9" t="n">
        <x:v>5</x:v>
      </x:c>
      <x:c r="H366" s="9" t="n">
        <x:v>0.95</x:v>
      </x:c>
      <x:c r="I366" s="9" t="n">
        <x:v>1.4285714286</x:v>
      </x:c>
      <x:c r="J366" s="9" t="n">
        <x:v>0</x:v>
      </x:c>
      <x:c r="K366" s="9" t="n">
        <x:f>ROUND(SUM(C366:J366),2)</x:f>
        <x:v>28.24</x:v>
      </x:c>
      <x:c r="L366" s="1" t="str">
        <x:f>IF(K366&gt;=70,"High",IF(K366&gt;=45,"Medium","Low"))</x:f>
        <x:v>Low</x:v>
      </x:c>
      <x:c r="M366" s="1"/>
      <x:c r="N366" s="1"/>
      <x:c r="O366" s="1"/>
      <x:c r="P366" s="1"/>
      <x:c r="Q366" s="1"/>
    </x:row>
    <x:row r="367" ht="22" customHeight="1">
      <x:c r="A367" s="1" t="str">
        <x:v>O0150</x:v>
      </x:c>
      <x:c r="B367" s="1" t="str">
        <x:v>Simulated Indore Engineering College 150</x:v>
      </x:c>
      <x:c r="C367" s="9" t="n">
        <x:v>1.78</x:v>
      </x:c>
      <x:c r="D367" s="9" t="n">
        <x:v>6.5</x:v>
      </x:c>
      <x:c r="E367" s="9" t="n">
        <x:v>3.75</x:v>
      </x:c>
      <x:c r="F367" s="9" t="n">
        <x:v>4</x:v>
      </x:c>
      <x:c r="G367" s="9" t="n">
        <x:v>0</x:v>
      </x:c>
      <x:c r="H367" s="9" t="n">
        <x:v>2</x:v>
      </x:c>
      <x:c r="I367" s="9" t="n">
        <x:v>1.4285714286</x:v>
      </x:c>
      <x:c r="J367" s="9" t="n">
        <x:v>8.3333333333</x:v>
      </x:c>
      <x:c r="K367" s="9" t="n">
        <x:f>ROUND(SUM(C367:J367),2)</x:f>
        <x:v>27.79</x:v>
      </x:c>
      <x:c r="L367" s="1" t="str">
        <x:f>IF(K367&gt;=70,"High",IF(K367&gt;=45,"Medium","Low"))</x:f>
        <x:v>Low</x:v>
      </x:c>
      <x:c r="M367" s="1"/>
      <x:c r="N367" s="1"/>
      <x:c r="O367" s="1"/>
      <x:c r="P367" s="1"/>
      <x:c r="Q367" s="1"/>
    </x:row>
    <x:row r="368" ht="22" customHeight="1">
      <x:c r="A368" s="1" t="str">
        <x:v>O0442</x:v>
      </x:c>
      <x:c r="B368" s="1" t="str">
        <x:v>Simulated Jaipur Arts and Science College 442</x:v>
      </x:c>
      <x:c r="C368" s="9" t="n">
        <x:v>0.496</x:v>
      </x:c>
      <x:c r="D368" s="9" t="n">
        <x:v>8</x:v>
      </x:c>
      <x:c r="E368" s="9" t="n">
        <x:v>3.75</x:v>
      </x:c>
      <x:c r="F368" s="9" t="n">
        <x:v>4</x:v>
      </x:c>
      <x:c r="G368" s="9" t="n">
        <x:v>10</x:v>
      </x:c>
      <x:c r="H368" s="9" t="n">
        <x:v>0.97</x:v>
      </x:c>
      <x:c r="I368" s="9" t="n">
        <x:v>0.4285714286</x:v>
      </x:c>
      <x:c r="J368" s="9" t="n">
        <x:v>0</x:v>
      </x:c>
      <x:c r="K368" s="9" t="n">
        <x:f>ROUND(SUM(C368:J368),2)</x:f>
        <x:v>27.64</x:v>
      </x:c>
      <x:c r="L368" s="1" t="str">
        <x:f>IF(K368&gt;=70,"High",IF(K368&gt;=45,"Medium","Low"))</x:f>
        <x:v>Low</x:v>
      </x:c>
      <x:c r="M368" s="1"/>
      <x:c r="N368" s="1"/>
      <x:c r="O368" s="1"/>
      <x:c r="P368" s="1"/>
      <x:c r="Q368" s="1"/>
    </x:row>
    <x:row r="369" ht="22" customHeight="1">
      <x:c r="A369" s="1" t="str">
        <x:v>O0525</x:v>
      </x:c>
      <x:c r="B369" s="1" t="str">
        <x:v>Simulated Indore Engineering College 525</x:v>
      </x:c>
      <x:c r="C369" s="9" t="n">
        <x:v>0.838</x:v>
      </x:c>
      <x:c r="D369" s="9" t="n">
        <x:v>6.5</x:v>
      </x:c>
      <x:c r="E369" s="9" t="n">
        <x:v>5</x:v>
      </x:c>
      <x:c r="F369" s="9" t="n">
        <x:v>4</x:v>
      </x:c>
      <x:c r="G369" s="9" t="n">
        <x:v>7.5</x:v>
      </x:c>
      <x:c r="H369" s="9" t="n">
        <x:v>1.19</x:v>
      </x:c>
      <x:c r="I369" s="9" t="n">
        <x:v>0.4285714286</x:v>
      </x:c>
      <x:c r="J369" s="9" t="n">
        <x:v>1.6666666667</x:v>
      </x:c>
      <x:c r="K369" s="9" t="n">
        <x:f>ROUND(SUM(C369:J369),2)</x:f>
        <x:v>27.12</x:v>
      </x:c>
      <x:c r="L369" s="1" t="str">
        <x:f>IF(K369&gt;=70,"High",IF(K369&gt;=45,"Medium","Low"))</x:f>
        <x:v>Low</x:v>
      </x:c>
      <x:c r="M369" s="1"/>
      <x:c r="N369" s="1"/>
      <x:c r="O369" s="1"/>
      <x:c r="P369" s="1"/>
      <x:c r="Q369" s="1"/>
    </x:row>
    <x:row r="370" ht="22" customHeight="1">
      <x:c r="A370" s="1" t="str">
        <x:v>O0019</x:v>
      </x:c>
      <x:c r="B370" s="1" t="str">
        <x:v>Simulated Ludhiana Engineering College 019</x:v>
      </x:c>
      <x:c r="C370" s="9" t="n">
        <x:v>0.851</x:v>
      </x:c>
      <x:c r="D370" s="9" t="n">
        <x:v>8.5</x:v>
      </x:c>
      <x:c r="E370" s="9" t="n">
        <x:v>3.75</x:v>
      </x:c>
      <x:c r="F370" s="9" t="n">
        <x:v>4</x:v>
      </x:c>
      <x:c r="G370" s="9" t="n">
        <x:v>5</x:v>
      </x:c>
      <x:c r="H370" s="9" t="n">
        <x:v>1.13</x:v>
      </x:c>
      <x:c r="I370" s="9" t="n">
        <x:v>1.4285714286</x:v>
      </x:c>
      <x:c r="J370" s="9" t="n">
        <x:v>2.3333333333</x:v>
      </x:c>
      <x:c r="K370" s="9" t="n">
        <x:f>ROUND(SUM(C370:J370),2)</x:f>
        <x:v>26.99</x:v>
      </x:c>
      <x:c r="L370" s="1" t="str">
        <x:f>IF(K370&gt;=70,"High",IF(K370&gt;=45,"Medium","Low"))</x:f>
        <x:v>Low</x:v>
      </x:c>
      <x:c r="M370" s="1"/>
      <x:c r="N370" s="1"/>
      <x:c r="O370" s="1"/>
      <x:c r="P370" s="1"/>
      <x:c r="Q370" s="1"/>
    </x:row>
    <x:row r="371" ht="22" customHeight="1">
      <x:c r="A371" s="1" t="str">
        <x:v>O0113</x:v>
      </x:c>
      <x:c r="B371" s="1" t="str">
        <x:v>Simulated Bengaluru Engineering College 113</x:v>
      </x:c>
      <x:c r="C371" s="9" t="n">
        <x:v>0.594</x:v>
      </x:c>
      <x:c r="D371" s="9" t="n">
        <x:v>9</x:v>
      </x:c>
      <x:c r="E371" s="9" t="n">
        <x:v>3.75</x:v>
      </x:c>
      <x:c r="F371" s="9" t="n">
        <x:v>4</x:v>
      </x:c>
      <x:c r="G371" s="9" t="n">
        <x:v>5</x:v>
      </x:c>
      <x:c r="H371" s="9" t="n">
        <x:v>1.2</x:v>
      </x:c>
      <x:c r="I371" s="9" t="n">
        <x:v>2.5714285714</x:v>
      </x:c>
      <x:c r="J371" s="9" t="n">
        <x:v>0</x:v>
      </x:c>
      <x:c r="K371" s="9" t="n">
        <x:f>ROUND(SUM(C371:J371),2)</x:f>
        <x:v>26.12</x:v>
      </x:c>
      <x:c r="L371" s="1" t="str">
        <x:f>IF(K371&gt;=70,"High",IF(K371&gt;=45,"Medium","Low"))</x:f>
        <x:v>Low</x:v>
      </x:c>
      <x:c r="M371" s="1"/>
      <x:c r="N371" s="1"/>
      <x:c r="O371" s="1"/>
      <x:c r="P371" s="1"/>
      <x:c r="Q371" s="1"/>
    </x:row>
    <x:row r="372" ht="22" customHeight="1">
      <x:c r="A372" s="1" t="str">
        <x:v>O0348</x:v>
      </x:c>
      <x:c r="B372" s="1" t="str">
        <x:v>Simulated Gurugram Arts and Science College 348</x:v>
      </x:c>
      <x:c r="C372" s="9" t="n">
        <x:v>0.689</x:v>
      </x:c>
      <x:c r="D372" s="9" t="n">
        <x:v>8.5</x:v>
      </x:c>
      <x:c r="E372" s="9" t="n">
        <x:v>3.75</x:v>
      </x:c>
      <x:c r="F372" s="9" t="n">
        <x:v>4</x:v>
      </x:c>
      <x:c r="G372" s="9" t="n">
        <x:v>5</x:v>
      </x:c>
      <x:c r="H372" s="9" t="n">
        <x:v>1.21</x:v>
      </x:c>
      <x:c r="I372" s="9" t="n">
        <x:v>2.5714285714</x:v>
      </x:c>
      <x:c r="J372" s="9" t="n">
        <x:v>0</x:v>
      </x:c>
      <x:c r="K372" s="9" t="n">
        <x:f>ROUND(SUM(C372:J372),2)</x:f>
        <x:v>25.72</x:v>
      </x:c>
      <x:c r="L372" s="1" t="str">
        <x:f>IF(K372&gt;=70,"High",IF(K372&gt;=45,"Medium","Low"))</x:f>
        <x:v>Low</x:v>
      </x:c>
      <x:c r="M372" s="1"/>
      <x:c r="N372" s="1"/>
      <x:c r="O372" s="1"/>
      <x:c r="P372" s="1"/>
      <x:c r="Q372" s="1"/>
    </x:row>
    <x:row r="373" ht="22" customHeight="1">
      <x:c r="A373" s="1" t="str">
        <x:v>O0435</x:v>
      </x:c>
      <x:c r="B373" s="1" t="str">
        <x:v>Simulated Indore Arts and Science College 435</x:v>
      </x:c>
      <x:c r="C373" s="9" t="n">
        <x:v>0.274</x:v>
      </x:c>
      <x:c r="D373" s="9" t="n">
        <x:v>6.5</x:v>
      </x:c>
      <x:c r="E373" s="9" t="n">
        <x:v>5</x:v>
      </x:c>
      <x:c r="F373" s="9" t="n">
        <x:v>4</x:v>
      </x:c>
      <x:c r="G373" s="9" t="n">
        <x:v>3.75</x:v>
      </x:c>
      <x:c r="H373" s="9" t="n">
        <x:v>0.88</x:v>
      </x:c>
      <x:c r="I373" s="9" t="n">
        <x:v>4.2857142857</x:v>
      </x:c>
      <x:c r="J373" s="9" t="n">
        <x:v>0</x:v>
      </x:c>
      <x:c r="K373" s="9" t="n">
        <x:f>ROUND(SUM(C373:J373),2)</x:f>
        <x:v>24.69</x:v>
      </x:c>
      <x:c r="L373" s="1" t="str">
        <x:f>IF(K373&gt;=70,"High",IF(K373&gt;=45,"Medium","Low"))</x:f>
        <x:v>Low</x:v>
      </x:c>
      <x:c r="M373" s="1"/>
      <x:c r="N373" s="1"/>
      <x:c r="O373" s="1"/>
      <x:c r="P373" s="1"/>
      <x:c r="Q373" s="1"/>
    </x:row>
    <x:row r="374" ht="22" customHeight="1">
      <x:c r="A374" s="1" t="str">
        <x:v>O0077</x:v>
      </x:c>
      <x:c r="B374" s="1" t="str">
        <x:v>Simulated Noida Management Institute 077</x:v>
      </x:c>
      <x:c r="C374" s="9" t="n">
        <x:v>1.798</x:v>
      </x:c>
      <x:c r="D374" s="9" t="n">
        <x:v>8.5</x:v>
      </x:c>
      <x:c r="E374" s="9" t="n">
        <x:v>5</x:v>
      </x:c>
      <x:c r="F374" s="9" t="n">
        <x:v>4</x:v>
      </x:c>
      <x:c r="G374" s="9" t="n">
        <x:v>0</x:v>
      </x:c>
      <x:c r="H374" s="9" t="n">
        <x:v>1.76</x:v>
      </x:c>
      <x:c r="I374" s="9" t="n">
        <x:v>0.4285714286</x:v>
      </x:c>
      <x:c r="J374" s="9" t="n">
        <x:v>2</x:v>
      </x:c>
      <x:c r="K374" s="9" t="n">
        <x:f>ROUND(SUM(C374:J374),2)</x:f>
        <x:v>23.49</x:v>
      </x:c>
      <x:c r="L374" s="1" t="str">
        <x:f>IF(K374&gt;=70,"High",IF(K374&gt;=45,"Medium","Low"))</x:f>
        <x:v>Low</x:v>
      </x:c>
      <x:c r="M374" s="1"/>
      <x:c r="N374" s="1"/>
      <x:c r="O374" s="1"/>
      <x:c r="P374" s="1"/>
      <x:c r="Q374" s="1"/>
    </x:row>
    <x:row r="375" ht="22" customHeight="1">
      <x:c r="A375" s="1" t="str">
        <x:v>O0389</x:v>
      </x:c>
      <x:c r="B375" s="1" t="str">
        <x:v>Simulated Guwahati Arts and Science College 389</x:v>
      </x:c>
      <x:c r="C375" s="9" t="n">
        <x:v>2.181</x:v>
      </x:c>
      <x:c r="D375" s="9" t="n">
        <x:v>5.5</x:v>
      </x:c>
      <x:c r="E375" s="9" t="n">
        <x:v>6.25</x:v>
      </x:c>
      <x:c r="F375" s="9" t="n">
        <x:v>7</x:v>
      </x:c>
      <x:c r="G375" s="9" t="n">
        <x:v>0</x:v>
      </x:c>
      <x:c r="H375" s="9" t="n">
        <x:v>2.08</x:v>
      </x:c>
      <x:c r="I375" s="9" t="n">
        <x:v>0.4285714286</x:v>
      </x:c>
      <x:c r="J375" s="9" t="n">
        <x:v>0</x:v>
      </x:c>
      <x:c r="K375" s="9" t="n">
        <x:f>ROUND(SUM(C375:J375),2)</x:f>
        <x:v>23.44</x:v>
      </x:c>
      <x:c r="L375" s="1" t="str">
        <x:f>IF(K375&gt;=70,"High",IF(K375&gt;=45,"Medium","Low"))</x:f>
        <x:v>Low</x:v>
      </x:c>
      <x:c r="M375" s="1"/>
      <x:c r="N375" s="1"/>
      <x:c r="O375" s="1"/>
      <x:c r="P375" s="1"/>
      <x:c r="Q375" s="1"/>
    </x:row>
    <x:row r="376" ht="22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2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2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2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2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2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2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2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2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2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2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2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2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2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2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2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2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2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2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2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2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2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2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2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2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2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2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2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2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2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2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2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2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2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2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2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2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2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2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2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2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2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2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2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2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2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2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2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2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2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2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2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2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2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2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2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2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2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2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2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2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2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2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2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2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2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2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2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2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2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2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2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2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2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2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2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2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2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2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2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2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2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2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2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2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2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2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2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2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2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2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2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2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2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2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2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2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2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2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2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2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2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2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2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2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2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2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2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2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2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2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2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2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2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2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2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2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2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2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2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2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2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2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2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2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2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2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2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2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2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2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2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2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2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2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2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2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2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2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2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2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2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2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2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2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2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2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2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2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2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2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2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2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2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2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2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2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2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2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2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2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2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2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2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2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2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2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2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2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2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2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2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2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2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2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2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2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2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2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2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2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2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2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2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2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2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2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2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2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2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2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2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2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2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2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2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2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2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2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2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2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2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2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2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2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2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2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2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2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2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2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2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2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2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2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2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2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2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2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2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2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2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2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2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2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  <x:row r="601" ht="22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</x:row>
    <x:row r="602" ht="22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</x:row>
    <x:row r="603" ht="22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</x:row>
    <x:row r="604" ht="22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</x:row>
    <x:row r="605" ht="22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</x:row>
    <x:row r="606" ht="22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</x:row>
    <x:row r="607" ht="22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</x:row>
    <x:row r="608" ht="22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</x:row>
    <x:row r="609" ht="22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</x:row>
    <x:row r="610" ht="22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</x:row>
  </x:sheetData>
  <x:conditionalFormatting sqref="K6:K375">
    <x:cfRule type="colorScale" priority="1">
      <x:colorScale>
        <x:cfvo type="min"/>
        <x:cfvo type="percentile" val="50"/>
        <x:cfvo type="max"/>
        <x:color rgb="FFFFFFFF"/>
        <x:color rgb="FF97D6CC"/>
        <x:color rgb="FF087F8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0d3c103d2334ad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5" hidden="0" customWidth="1"/>
    <x:col min="7" max="7" width="25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Territory performance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3" t="str">
        <x:v>Counts and values link to Sales Pipeline. Revenue is signed value, not accrued service revenue.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6" t="str">
        <x:v>Territory</x:v>
      </x:c>
      <x:c r="B5" s="6" t="str">
        <x:v>Opportunities</x:v>
      </x:c>
      <x:c r="C5" s="6" t="str">
        <x:v>Open</x:v>
      </x:c>
      <x:c r="D5" s="6" t="str">
        <x:v>Won</x:v>
      </x:c>
      <x:c r="E5" s="6" t="str">
        <x:v>Lost</x:v>
      </x:c>
      <x:c r="F5" s="6" t="str">
        <x:v>Pipeline INR</x:v>
      </x:c>
      <x:c r="G5" s="6" t="str">
        <x:v>Signed INR</x:v>
      </x:c>
      <x:c r="H5" s="6" t="str">
        <x:v>Win rate</x:v>
      </x:c>
      <x:c r="I5" s="6" t="str">
        <x:v>Overdue</x:v>
      </x:c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Central</x:v>
      </x:c>
      <x:c r="B6" s="1" t="n">
        <x:f>COUNTIF('Sales Pipeline'!$C$6:$C$605,A6)</x:f>
        <x:v>40</x:v>
      </x:c>
      <x:c r="C6" s="1" t="n">
        <x:f>COUNTIFS('Sales Pipeline'!$C$6:$C$605,A6,'Sales Pipeline'!$E$6:$E$605,"Open")</x:f>
        <x:v>23</x:v>
      </x:c>
      <x:c r="D6" s="1" t="n">
        <x:f>COUNTIFS('Sales Pipeline'!$C$6:$C$605,A6,'Sales Pipeline'!$E$6:$E$605,"Won")</x:f>
        <x:v>3</x:v>
      </x:c>
      <x:c r="E6" s="1" t="n">
        <x:f>COUNTIFS('Sales Pipeline'!$C$6:$C$605,A6,'Sales Pipeline'!$E$6:$E$605,"Lost")</x:f>
        <x:v>14</x:v>
      </x:c>
      <x:c r="F6" s="7" t="n">
        <x:f>SUMIFS('Sales Pipeline'!$F$6:$F$605,'Sales Pipeline'!$C$6:$C$605,A6,'Sales Pipeline'!$E$6:$E$605,"Open")</x:f>
        <x:v>4829000</x:v>
      </x:c>
      <x:c r="G6" s="7" t="n">
        <x:f>SUMIFS('Sales Pipeline'!$F$6:$F$605,'Sales Pipeline'!$C$6:$C$605,A6,'Sales Pipeline'!$E$6:$E$605,"Won")</x:f>
        <x:v>762000</x:v>
      </x:c>
      <x:c r="H6" s="12" t="n">
        <x:f>IFERROR(D6/(D6+E6),"N/A")</x:f>
        <x:v>0.17647058823529413</x:v>
      </x:c>
      <x:c r="I6" s="1" t="n">
        <x:f>SUMIF('Sales Pipeline'!$C$6:$C$605,A6,'Sales Pipeline'!$L$6:$L$605)</x:f>
        <x:v>17</x:v>
      </x:c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East</x:v>
      </x:c>
      <x:c r="B7" s="1" t="n">
        <x:f>COUNTIF('Sales Pipeline'!$C$6:$C$605,A7)</x:f>
        <x:v>120</x:v>
      </x:c>
      <x:c r="C7" s="1" t="n">
        <x:f>COUNTIFS('Sales Pipeline'!$C$6:$C$605,A7,'Sales Pipeline'!$E$6:$E$605,"Open")</x:f>
        <x:v>82</x:v>
      </x:c>
      <x:c r="D7" s="1" t="n">
        <x:f>COUNTIFS('Sales Pipeline'!$C$6:$C$605,A7,'Sales Pipeline'!$E$6:$E$605,"Won")</x:f>
        <x:v>5</x:v>
      </x:c>
      <x:c r="E7" s="1" t="n">
        <x:f>COUNTIFS('Sales Pipeline'!$C$6:$C$605,A7,'Sales Pipeline'!$E$6:$E$605,"Lost")</x:f>
        <x:v>33</x:v>
      </x:c>
      <x:c r="F7" s="7" t="n">
        <x:f>SUMIFS('Sales Pipeline'!$F$6:$F$605,'Sales Pipeline'!$C$6:$C$605,A7,'Sales Pipeline'!$E$6:$E$605,"Open")</x:f>
        <x:v>20773000</x:v>
      </x:c>
      <x:c r="G7" s="7" t="n">
        <x:f>SUMIFS('Sales Pipeline'!$F$6:$F$605,'Sales Pipeline'!$C$6:$C$605,A7,'Sales Pipeline'!$E$6:$E$605,"Won")</x:f>
        <x:v>2127000</x:v>
      </x:c>
      <x:c r="H7" s="12" t="n">
        <x:f>IFERROR(D7/(D7+E7),"N/A")</x:f>
        <x:v>0.13157894736842105</x:v>
      </x:c>
      <x:c r="I7" s="1" t="n">
        <x:f>SUMIF('Sales Pipeline'!$C$6:$C$605,A7,'Sales Pipeline'!$L$6:$L$605)</x:f>
        <x:v>43</x:v>
      </x:c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North</x:v>
      </x:c>
      <x:c r="B8" s="1" t="n">
        <x:f>COUNTIF('Sales Pipeline'!$C$6:$C$605,A8)</x:f>
        <x:v>160</x:v>
      </x:c>
      <x:c r="C8" s="1" t="n">
        <x:f>COUNTIFS('Sales Pipeline'!$C$6:$C$605,A8,'Sales Pipeline'!$E$6:$E$605,"Open")</x:f>
        <x:v>92</x:v>
      </x:c>
      <x:c r="D8" s="1" t="n">
        <x:f>COUNTIFS('Sales Pipeline'!$C$6:$C$605,A8,'Sales Pipeline'!$E$6:$E$605,"Won")</x:f>
        <x:v>18</x:v>
      </x:c>
      <x:c r="E8" s="1" t="n">
        <x:f>COUNTIFS('Sales Pipeline'!$C$6:$C$605,A8,'Sales Pipeline'!$E$6:$E$605,"Lost")</x:f>
        <x:v>50</x:v>
      </x:c>
      <x:c r="F8" s="7" t="n">
        <x:f>SUMIFS('Sales Pipeline'!$F$6:$F$605,'Sales Pipeline'!$C$6:$C$605,A8,'Sales Pipeline'!$E$6:$E$605,"Open")</x:f>
        <x:v>29212000</x:v>
      </x:c>
      <x:c r="G8" s="7" t="n">
        <x:f>SUMIFS('Sales Pipeline'!$F$6:$F$605,'Sales Pipeline'!$C$6:$C$605,A8,'Sales Pipeline'!$E$6:$E$605,"Won")</x:f>
        <x:v>4684000</x:v>
      </x:c>
      <x:c r="H8" s="12" t="n">
        <x:f>IFERROR(D8/(D8+E8),"N/A")</x:f>
        <x:v>0.2647058823529412</x:v>
      </x:c>
      <x:c r="I8" s="1" t="n">
        <x:f>SUMIF('Sales Pipeline'!$C$6:$C$605,A8,'Sales Pipeline'!$L$6:$L$605)</x:f>
        <x:v>57</x:v>
      </x:c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Northeast</x:v>
      </x:c>
      <x:c r="B9" s="1" t="n">
        <x:f>COUNTIF('Sales Pipeline'!$C$6:$C$605,A9)</x:f>
        <x:v>40</x:v>
      </x:c>
      <x:c r="C9" s="1" t="n">
        <x:f>COUNTIFS('Sales Pipeline'!$C$6:$C$605,A9,'Sales Pipeline'!$E$6:$E$605,"Open")</x:f>
        <x:v>24</x:v>
      </x:c>
      <x:c r="D9" s="1" t="n">
        <x:f>COUNTIFS('Sales Pipeline'!$C$6:$C$605,A9,'Sales Pipeline'!$E$6:$E$605,"Won")</x:f>
        <x:v>3</x:v>
      </x:c>
      <x:c r="E9" s="1" t="n">
        <x:f>COUNTIFS('Sales Pipeline'!$C$6:$C$605,A9,'Sales Pipeline'!$E$6:$E$605,"Lost")</x:f>
        <x:v>13</x:v>
      </x:c>
      <x:c r="F9" s="7" t="n">
        <x:f>SUMIFS('Sales Pipeline'!$F$6:$F$605,'Sales Pipeline'!$C$6:$C$605,A9,'Sales Pipeline'!$E$6:$E$605,"Open")</x:f>
        <x:v>6938000</x:v>
      </x:c>
      <x:c r="G9" s="7" t="n">
        <x:f>SUMIFS('Sales Pipeline'!$F$6:$F$605,'Sales Pipeline'!$C$6:$C$605,A9,'Sales Pipeline'!$E$6:$E$605,"Won")</x:f>
        <x:v>506000</x:v>
      </x:c>
      <x:c r="H9" s="12" t="n">
        <x:f>IFERROR(D9/(D9+E9),"N/A")</x:f>
        <x:v>0.1875</x:v>
      </x:c>
      <x:c r="I9" s="1" t="n">
        <x:f>SUMIF('Sales Pipeline'!$C$6:$C$605,A9,'Sales Pipeline'!$L$6:$L$605)</x:f>
        <x:v>14</x:v>
      </x:c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 t="str">
        <x:v>South</x:v>
      </x:c>
      <x:c r="B10" s="1" t="n">
        <x:f>COUNTIF('Sales Pipeline'!$C$6:$C$605,A10)</x:f>
        <x:v>120</x:v>
      </x:c>
      <x:c r="C10" s="1" t="n">
        <x:f>COUNTIFS('Sales Pipeline'!$C$6:$C$605,A10,'Sales Pipeline'!$E$6:$E$605,"Open")</x:f>
        <x:v>73</x:v>
      </x:c>
      <x:c r="D10" s="1" t="n">
        <x:f>COUNTIFS('Sales Pipeline'!$C$6:$C$605,A10,'Sales Pipeline'!$E$6:$E$605,"Won")</x:f>
        <x:v>16</x:v>
      </x:c>
      <x:c r="E10" s="1" t="n">
        <x:f>COUNTIFS('Sales Pipeline'!$C$6:$C$605,A10,'Sales Pipeline'!$E$6:$E$605,"Lost")</x:f>
        <x:v>31</x:v>
      </x:c>
      <x:c r="F10" s="7" t="n">
        <x:f>SUMIFS('Sales Pipeline'!$F$6:$F$605,'Sales Pipeline'!$C$6:$C$605,A10,'Sales Pipeline'!$E$6:$E$605,"Open")</x:f>
        <x:v>23678000</x:v>
      </x:c>
      <x:c r="G10" s="7" t="n">
        <x:f>SUMIFS('Sales Pipeline'!$F$6:$F$605,'Sales Pipeline'!$C$6:$C$605,A10,'Sales Pipeline'!$E$6:$E$605,"Won")</x:f>
        <x:v>4502000</x:v>
      </x:c>
      <x:c r="H10" s="12" t="n">
        <x:f>IFERROR(D10/(D10+E10),"N/A")</x:f>
        <x:v>0.3404255319148936</x:v>
      </x:c>
      <x:c r="I10" s="1" t="n">
        <x:f>SUMIF('Sales Pipeline'!$C$6:$C$605,A10,'Sales Pipeline'!$L$6:$L$605)</x:f>
        <x:v>46</x:v>
      </x:c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West</x:v>
      </x:c>
      <x:c r="B11" s="1" t="n">
        <x:f>COUNTIF('Sales Pipeline'!$C$6:$C$605,A11)</x:f>
        <x:v>120</x:v>
      </x:c>
      <x:c r="C11" s="1" t="n">
        <x:f>COUNTIFS('Sales Pipeline'!$C$6:$C$605,A11,'Sales Pipeline'!$E$6:$E$605,"Open")</x:f>
        <x:v>76</x:v>
      </x:c>
      <x:c r="D11" s="1" t="n">
        <x:f>COUNTIFS('Sales Pipeline'!$C$6:$C$605,A11,'Sales Pipeline'!$E$6:$E$605,"Won")</x:f>
        <x:v>12</x:v>
      </x:c>
      <x:c r="E11" s="1" t="n">
        <x:f>COUNTIFS('Sales Pipeline'!$C$6:$C$605,A11,'Sales Pipeline'!$E$6:$E$605,"Lost")</x:f>
        <x:v>32</x:v>
      </x:c>
      <x:c r="F11" s="7" t="n">
        <x:f>SUMIFS('Sales Pipeline'!$F$6:$F$605,'Sales Pipeline'!$C$6:$C$605,A11,'Sales Pipeline'!$E$6:$E$605,"Open")</x:f>
        <x:v>23800000</x:v>
      </x:c>
      <x:c r="G11" s="7" t="n">
        <x:f>SUMIFS('Sales Pipeline'!$F$6:$F$605,'Sales Pipeline'!$C$6:$C$605,A11,'Sales Pipeline'!$E$6:$E$605,"Won")</x:f>
        <x:v>4305000</x:v>
      </x:c>
      <x:c r="H11" s="12" t="n">
        <x:f>IFERROR(D11/(D11+E11),"N/A")</x:f>
        <x:v>0.2727272727272727</x:v>
      </x:c>
      <x:c r="I11" s="1" t="n">
        <x:f>SUMIF('Sales Pipeline'!$C$6:$C$605,A11,'Sales Pipeline'!$L$6:$L$605)</x:f>
        <x:v>45</x:v>
      </x:c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2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2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2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2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2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2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2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2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2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2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2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2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2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2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2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2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2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2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2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2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2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2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2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2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2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2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2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2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2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2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2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2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2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2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2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2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2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2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2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2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2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2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2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2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2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2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2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2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2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2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2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2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2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2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2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2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2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2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2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2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2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2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2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2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2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2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2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2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2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2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2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2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2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2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2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2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2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2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2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2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2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2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2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2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2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2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2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2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2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2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2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2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2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2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2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2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2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2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2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2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2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2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2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2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2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2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2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2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2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2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2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2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2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2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2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2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2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2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2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2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2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2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2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2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2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2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2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2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2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2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2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2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2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2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2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2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2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2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2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2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2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2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2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2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2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2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2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2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2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2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2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2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2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2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2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2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2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2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2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2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2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2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2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2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2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2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2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2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2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2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2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2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2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2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2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2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2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2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2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2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2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2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2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2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2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2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2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2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2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2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2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2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2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2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2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2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2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2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2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2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2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2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2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2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2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2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2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2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2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2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2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2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2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2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2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2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2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2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2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2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2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2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2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2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2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2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2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2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2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2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2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2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2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2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2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2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2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2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2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2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2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2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2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2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2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2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2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2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2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2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2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2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2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2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2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2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2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2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2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2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2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2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2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2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2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2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2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2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2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2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2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2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2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2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2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2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2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2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2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2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2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2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2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2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2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2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2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2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2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2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2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2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2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2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2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2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2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2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2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2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2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2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2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2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2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2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2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2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2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2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2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2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2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2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2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2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2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2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2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2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2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2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2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2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2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2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2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2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2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2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2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2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2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2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2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2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2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2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2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2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2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2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2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2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2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2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2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2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2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2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2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2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2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2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2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2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2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2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2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2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2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2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2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2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2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2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2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2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2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2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2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2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2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2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2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2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2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2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2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2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2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2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2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2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2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2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2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2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2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2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2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2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2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2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2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2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2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2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2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2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2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2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2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2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2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2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2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2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2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2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2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2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2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2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2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2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2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2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2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2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  <x:row r="601" ht="22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</x:row>
    <x:row r="602" ht="22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</x:row>
    <x:row r="603" ht="22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</x:row>
    <x:row r="604" ht="22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</x:row>
    <x:row r="605" ht="22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</x:row>
    <x:row r="606" ht="22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</x:row>
    <x:row r="607" ht="22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</x:row>
    <x:row r="608" ht="22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</x:row>
    <x:row r="609" ht="22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</x:row>
    <x:row r="610" ht="22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</x:row>
  </x:sheetData>
  <x:pageMargins left="0.7" right="0.7" top="0.75" bottom="0.75" header="0.3" footer="0.3"/>
  <x:drawing xmlns:r="http://schemas.openxmlformats.org/officeDocument/2006/relationships" r:id="Redd53a88188544be"/>
  <x:tableParts count="1">
    <x:tablePart xmlns:r="http://schemas.openxmlformats.org/officeDocument/2006/relationships" r:id="Ra84607cac0d94bb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Oct to Dec 2026 bookings forecast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3" t="str">
        <x:v>Eligible open deals only. Scenario weights are assumptions, not confidence intervals.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6" t="str">
        <x:v>Opportunity</x:v>
      </x:c>
      <x:c r="B5" s="6" t="str">
        <x:v>Stage</x:v>
      </x:c>
      <x:c r="C5" s="6" t="str">
        <x:v>Value INR</x:v>
      </x:c>
      <x:c r="D5" s="6" t="str">
        <x:v>Expected close</x:v>
      </x:c>
      <x:c r="E5" s="6" t="str">
        <x:v>Base probability</x:v>
      </x:c>
      <x:c r="F5" s="6" t="str">
        <x:v>Conservative INR</x:v>
      </x:c>
      <x:c r="G5" s="6" t="str">
        <x:v>Base INR</x:v>
      </x:c>
      <x:c r="H5" s="6" t="str">
        <x:v>Optimistic INR</x:v>
      </x:c>
      <x:c r="I5" s="1"/>
      <x:c r="J5" s="5" t="str">
        <x:v>Scenario</x:v>
      </x:c>
      <x:c r="K5" s="5" t="str">
        <x:v>Multiplier</x:v>
      </x:c>
      <x:c r="L5" s="5" t="str">
        <x:v>Forecast INR</x:v>
      </x:c>
      <x:c r="M5" s="5" t="str">
        <x:v>Eligible count</x:v>
      </x:c>
      <x:c r="N5" s="1"/>
      <x:c r="O5" s="1"/>
      <x:c r="P5" s="1"/>
      <x:c r="Q5" s="1"/>
    </x:row>
    <x:row r="6" ht="22" customHeight="1">
      <x:c r="A6" s="1" t="str">
        <x:v>O0006</x:v>
      </x:c>
      <x:c r="B6" s="1" t="str">
        <x:v>Qualified</x:v>
      </x:c>
      <x:c r="C6" s="1" t="n">
        <x:v>197000</x:v>
      </x:c>
      <x:c r="D6" s="8" t="d">
        <x:v>2026-12-29T00:00:00.000Z</x:v>
      </x:c>
      <x:c r="E6" s="12" t="n">
        <x:v>0.1</x:v>
      </x:c>
      <x:c r="F6" s="7" t="n">
        <x:f>C6*MIN(1,E6*$K$6)</x:f>
        <x:v>13789.999999999998</x:v>
      </x:c>
      <x:c r="G6" s="7" t="n">
        <x:f>C6*MIN(1,E6*$K$7)</x:f>
        <x:v>19700</x:v>
      </x:c>
      <x:c r="H6" s="7" t="n">
        <x:f>C6*MIN(1,E6*$K$8)</x:f>
        <x:v>25610</x:v>
      </x:c>
      <x:c r="I6" s="1"/>
      <x:c r="J6" s="1" t="str">
        <x:v>Conservative</x:v>
      </x:c>
      <x:c r="K6" s="11" t="n">
        <x:v>0.7</x:v>
      </x:c>
      <x:c r="L6" s="7" t="n">
        <x:f>SUM(F6:F113)</x:f>
        <x:v>3438260</x:v>
      </x:c>
      <x:c r="M6" s="1" t="n">
        <x:f>COUNTA(A6:A113)</x:f>
        <x:v>108</x:v>
      </x:c>
      <x:c r="N6" s="1"/>
      <x:c r="O6" s="1"/>
      <x:c r="P6" s="1"/>
      <x:c r="Q6" s="1"/>
    </x:row>
    <x:row r="7" ht="22" customHeight="1">
      <x:c r="A7" s="1" t="str">
        <x:v>O0007</x:v>
      </x:c>
      <x:c r="B7" s="1" t="str">
        <x:v>Proposal Sent</x:v>
      </x:c>
      <x:c r="C7" s="1" t="n">
        <x:v>104000</x:v>
      </x:c>
      <x:c r="D7" s="8" t="d">
        <x:v>2026-10-15T00:00:00.000Z</x:v>
      </x:c>
      <x:c r="E7" s="12" t="n">
        <x:v>0.5</x:v>
      </x:c>
      <x:c r="F7" s="7" t="n">
        <x:f>C7*MIN(1,E7*$K$6)</x:f>
        <x:v>36400</x:v>
      </x:c>
      <x:c r="G7" s="7" t="n">
        <x:f>C7*MIN(1,E7*$K$7)</x:f>
        <x:v>52000</x:v>
      </x:c>
      <x:c r="H7" s="7" t="n">
        <x:f>C7*MIN(1,E7*$K$8)</x:f>
        <x:v>67600</x:v>
      </x:c>
      <x:c r="I7" s="1"/>
      <x:c r="J7" s="1" t="str">
        <x:v>Base</x:v>
      </x:c>
      <x:c r="K7" s="11" t="n">
        <x:v>1</x:v>
      </x:c>
      <x:c r="L7" s="7" t="n">
        <x:f>SUM(G6:G113)</x:f>
        <x:v>4911800</x:v>
      </x:c>
      <x:c r="M7" s="1" t="n">
        <x:f>COUNTA(A6:A113)</x:f>
        <x:v>108</x:v>
      </x:c>
      <x:c r="N7" s="1"/>
      <x:c r="O7" s="1"/>
      <x:c r="P7" s="1"/>
      <x:c r="Q7" s="1"/>
    </x:row>
    <x:row r="8" ht="22" customHeight="1">
      <x:c r="A8" s="1" t="str">
        <x:v>O0028</x:v>
      </x:c>
      <x:c r="B8" s="1" t="str">
        <x:v>Meeting Scheduled</x:v>
      </x:c>
      <x:c r="C8" s="1" t="n">
        <x:v>128000</x:v>
      </x:c>
      <x:c r="D8" s="8" t="d">
        <x:v>2026-10-28T00:00:00.000Z</x:v>
      </x:c>
      <x:c r="E8" s="12" t="n">
        <x:v>0.3</x:v>
      </x:c>
      <x:c r="F8" s="7" t="n">
        <x:f>C8*MIN(1,E8*$K$6)</x:f>
        <x:v>26880</x:v>
      </x:c>
      <x:c r="G8" s="7" t="n">
        <x:f>C8*MIN(1,E8*$K$7)</x:f>
        <x:v>38400</x:v>
      </x:c>
      <x:c r="H8" s="7" t="n">
        <x:f>C8*MIN(1,E8*$K$8)</x:f>
        <x:v>49920</x:v>
      </x:c>
      <x:c r="I8" s="1"/>
      <x:c r="J8" s="1" t="str">
        <x:v>Optimistic</x:v>
      </x:c>
      <x:c r="K8" s="11" t="n">
        <x:v>1.3</x:v>
      </x:c>
      <x:c r="L8" s="7" t="n">
        <x:f>SUM(H6:H113)</x:f>
        <x:v>6385340</x:v>
      </x:c>
      <x:c r="M8" s="1" t="n">
        <x:f>COUNTA(A6:A113)</x:f>
        <x:v>108</x:v>
      </x:c>
      <x:c r="N8" s="1"/>
      <x:c r="O8" s="1"/>
      <x:c r="P8" s="1"/>
      <x:c r="Q8" s="1"/>
    </x:row>
    <x:row r="9" ht="22" customHeight="1">
      <x:c r="A9" s="1" t="str">
        <x:v>O0029</x:v>
      </x:c>
      <x:c r="B9" s="1" t="str">
        <x:v>Qualified</x:v>
      </x:c>
      <x:c r="C9" s="1" t="n">
        <x:v>168000</x:v>
      </x:c>
      <x:c r="D9" s="8" t="d">
        <x:v>2026-10-27T00:00:00.000Z</x:v>
      </x:c>
      <x:c r="E9" s="12" t="n">
        <x:v>0.1</x:v>
      </x:c>
      <x:c r="F9" s="7" t="n">
        <x:f>C9*MIN(1,E9*$K$6)</x:f>
        <x:v>11759.999999999998</x:v>
      </x:c>
      <x:c r="G9" s="7" t="n">
        <x:f>C9*MIN(1,E9*$K$7)</x:f>
        <x:v>16800</x:v>
      </x:c>
      <x:c r="H9" s="7" t="n">
        <x:f>C9*MIN(1,E9*$K$8)</x:f>
        <x:v>21840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 t="str">
        <x:v>O0031</x:v>
      </x:c>
      <x:c r="B10" s="1" t="str">
        <x:v>Initial Contact</x:v>
      </x:c>
      <x:c r="C10" s="1" t="n">
        <x:v>267000</x:v>
      </x:c>
      <x:c r="D10" s="8" t="d">
        <x:v>2026-10-30T00:00:00.000Z</x:v>
      </x:c>
      <x:c r="E10" s="12" t="n">
        <x:v>0.18</x:v>
      </x:c>
      <x:c r="F10" s="7" t="n">
        <x:f>C10*MIN(1,E10*$K$6)</x:f>
        <x:v>33642</x:v>
      </x:c>
      <x:c r="G10" s="7" t="n">
        <x:f>C10*MIN(1,E10*$K$7)</x:f>
        <x:v>48060</x:v>
      </x:c>
      <x:c r="H10" s="7" t="n">
        <x:f>C10*MIN(1,E10*$K$8)</x:f>
        <x:v>62477.99999999999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O0039</x:v>
      </x:c>
      <x:c r="B11" s="1" t="str">
        <x:v>Initial Contact</x:v>
      </x:c>
      <x:c r="C11" s="1" t="n">
        <x:v>259000</x:v>
      </x:c>
      <x:c r="D11" s="8" t="d">
        <x:v>2026-11-15T00:00:00.000Z</x:v>
      </x:c>
      <x:c r="E11" s="12" t="n">
        <x:v>0.18</x:v>
      </x:c>
      <x:c r="F11" s="7" t="n">
        <x:f>C11*MIN(1,E11*$K$6)</x:f>
        <x:v>32634</x:v>
      </x:c>
      <x:c r="G11" s="7" t="n">
        <x:f>C11*MIN(1,E11*$K$7)</x:f>
        <x:v>46620</x:v>
      </x:c>
      <x:c r="H11" s="7" t="n">
        <x:f>C11*MIN(1,E11*$K$8)</x:f>
        <x:v>60605.99999999999</x:v>
      </x:c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 t="str">
        <x:v>O0043</x:v>
      </x:c>
      <x:c r="B12" s="1" t="str">
        <x:v>Prospect Identified</x:v>
      </x:c>
      <x:c r="C12" s="1" t="n">
        <x:v>444000</x:v>
      </x:c>
      <x:c r="D12" s="8" t="d">
        <x:v>2026-12-23T00:00:00.000Z</x:v>
      </x:c>
      <x:c r="E12" s="12" t="n">
        <x:v>0.03</x:v>
      </x:c>
      <x:c r="F12" s="7" t="n">
        <x:f>C12*MIN(1,E12*$K$6)</x:f>
        <x:v>9323.999999999998</x:v>
      </x:c>
      <x:c r="G12" s="7" t="n">
        <x:f>C12*MIN(1,E12*$K$7)</x:f>
        <x:v>13320</x:v>
      </x:c>
      <x:c r="H12" s="7" t="n">
        <x:f>C12*MIN(1,E12*$K$8)</x:f>
        <x:v>17316</x:v>
      </x:c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 t="str">
        <x:v>O0049</x:v>
      </x:c>
      <x:c r="B13" s="1" t="str">
        <x:v>Prospect Identified</x:v>
      </x:c>
      <x:c r="C13" s="1" t="n">
        <x:v>307000</x:v>
      </x:c>
      <x:c r="D13" s="8" t="d">
        <x:v>2026-10-07T00:00:00.000Z</x:v>
      </x:c>
      <x:c r="E13" s="12" t="n">
        <x:v>0.03</x:v>
      </x:c>
      <x:c r="F13" s="7" t="n">
        <x:f>C13*MIN(1,E13*$K$6)</x:f>
        <x:v>6446.999999999999</x:v>
      </x:c>
      <x:c r="G13" s="7" t="n">
        <x:f>C13*MIN(1,E13*$K$7)</x:f>
        <x:v>9210</x:v>
      </x:c>
      <x:c r="H13" s="7" t="n">
        <x:f>C13*MIN(1,E13*$K$8)</x:f>
        <x:v>11973</x:v>
      </x:c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 t="str">
        <x:v>O0050</x:v>
      </x:c>
      <x:c r="B14" s="1" t="str">
        <x:v>Initial Contact</x:v>
      </x:c>
      <x:c r="C14" s="1" t="n">
        <x:v>330000</x:v>
      </x:c>
      <x:c r="D14" s="8" t="d">
        <x:v>2026-11-18T00:00:00.000Z</x:v>
      </x:c>
      <x:c r="E14" s="12" t="n">
        <x:v>0.18</x:v>
      </x:c>
      <x:c r="F14" s="7" t="n">
        <x:f>C14*MIN(1,E14*$K$6)</x:f>
        <x:v>41580</x:v>
      </x:c>
      <x:c r="G14" s="7" t="n">
        <x:f>C14*MIN(1,E14*$K$7)</x:f>
        <x:v>59400</x:v>
      </x:c>
      <x:c r="H14" s="7" t="n">
        <x:f>C14*MIN(1,E14*$K$8)</x:f>
        <x:v>77220</x:v>
      </x:c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 t="str">
        <x:v>O0071</x:v>
      </x:c>
      <x:c r="B15" s="1" t="str">
        <x:v>Prospect Identified</x:v>
      </x:c>
      <x:c r="C15" s="1" t="n">
        <x:v>109000</x:v>
      </x:c>
      <x:c r="D15" s="8" t="d">
        <x:v>2026-10-09T00:00:00.000Z</x:v>
      </x:c>
      <x:c r="E15" s="12" t="n">
        <x:v>0.03</x:v>
      </x:c>
      <x:c r="F15" s="7" t="n">
        <x:f>C15*MIN(1,E15*$K$6)</x:f>
        <x:v>2288.9999999999995</x:v>
      </x:c>
      <x:c r="G15" s="7" t="n">
        <x:f>C15*MIN(1,E15*$K$7)</x:f>
        <x:v>3270</x:v>
      </x:c>
      <x:c r="H15" s="7" t="n">
        <x:f>C15*MIN(1,E15*$K$8)</x:f>
        <x:v>4251</x:v>
      </x:c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 t="str">
        <x:v>O0079</x:v>
      </x:c>
      <x:c r="B16" s="1" t="str">
        <x:v>Proposal Sent</x:v>
      </x:c>
      <x:c r="C16" s="1" t="n">
        <x:v>134000</x:v>
      </x:c>
      <x:c r="D16" s="8" t="d">
        <x:v>2026-10-20T00:00:00.000Z</x:v>
      </x:c>
      <x:c r="E16" s="12" t="n">
        <x:v>0.5</x:v>
      </x:c>
      <x:c r="F16" s="7" t="n">
        <x:f>C16*MIN(1,E16*$K$6)</x:f>
        <x:v>46900</x:v>
      </x:c>
      <x:c r="G16" s="7" t="n">
        <x:f>C16*MIN(1,E16*$K$7)</x:f>
        <x:v>67000</x:v>
      </x:c>
      <x:c r="H16" s="7" t="n">
        <x:f>C16*MIN(1,E16*$K$8)</x:f>
        <x:v>87100</x:v>
      </x:c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 t="str">
        <x:v>O0095</x:v>
      </x:c>
      <x:c r="B17" s="1" t="str">
        <x:v>Prospect Identified</x:v>
      </x:c>
      <x:c r="C17" s="1" t="n">
        <x:v>1040000</x:v>
      </x:c>
      <x:c r="D17" s="8" t="d">
        <x:v>2026-11-03T00:00:00.000Z</x:v>
      </x:c>
      <x:c r="E17" s="12" t="n">
        <x:v>0.03</x:v>
      </x:c>
      <x:c r="F17" s="7" t="n">
        <x:f>C17*MIN(1,E17*$K$6)</x:f>
        <x:v>21839.999999999996</x:v>
      </x:c>
      <x:c r="G17" s="7" t="n">
        <x:f>C17*MIN(1,E17*$K$7)</x:f>
        <x:v>31200</x:v>
      </x:c>
      <x:c r="H17" s="7" t="n">
        <x:f>C17*MIN(1,E17*$K$8)</x:f>
        <x:v>40560</x:v>
      </x:c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 t="str">
        <x:v>O0100</x:v>
      </x:c>
      <x:c r="B18" s="1" t="str">
        <x:v>Prospect Identified</x:v>
      </x:c>
      <x:c r="C18" s="1" t="n">
        <x:v>213000</x:v>
      </x:c>
      <x:c r="D18" s="8" t="d">
        <x:v>2026-12-28T00:00:00.000Z</x:v>
      </x:c>
      <x:c r="E18" s="12" t="n">
        <x:v>0.03</x:v>
      </x:c>
      <x:c r="F18" s="7" t="n">
        <x:f>C18*MIN(1,E18*$K$6)</x:f>
        <x:v>4472.999999999999</x:v>
      </x:c>
      <x:c r="G18" s="7" t="n">
        <x:f>C18*MIN(1,E18*$K$7)</x:f>
        <x:v>6390</x:v>
      </x:c>
      <x:c r="H18" s="7" t="n">
        <x:f>C18*MIN(1,E18*$K$8)</x:f>
        <x:v>8307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 t="str">
        <x:v>O0102</x:v>
      </x:c>
      <x:c r="B19" s="1" t="str">
        <x:v>Qualified</x:v>
      </x:c>
      <x:c r="C19" s="1" t="n">
        <x:v>132000</x:v>
      </x:c>
      <x:c r="D19" s="8" t="d">
        <x:v>2026-11-05T00:00:00.000Z</x:v>
      </x:c>
      <x:c r="E19" s="12" t="n">
        <x:v>0.1</x:v>
      </x:c>
      <x:c r="F19" s="7" t="n">
        <x:f>C19*MIN(1,E19*$K$6)</x:f>
        <x:v>9239.999999999998</x:v>
      </x:c>
      <x:c r="G19" s="7" t="n">
        <x:f>C19*MIN(1,E19*$K$7)</x:f>
        <x:v>13200</x:v>
      </x:c>
      <x:c r="H19" s="7" t="n">
        <x:f>C19*MIN(1,E19*$K$8)</x:f>
        <x:v>17160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 t="str">
        <x:v>O0105</x:v>
      </x:c>
      <x:c r="B20" s="1" t="str">
        <x:v>Qualified</x:v>
      </x:c>
      <x:c r="C20" s="1" t="n">
        <x:v>190000</x:v>
      </x:c>
      <x:c r="D20" s="8" t="d">
        <x:v>2026-12-01T00:00:00.000Z</x:v>
      </x:c>
      <x:c r="E20" s="12" t="n">
        <x:v>0.1</x:v>
      </x:c>
      <x:c r="F20" s="7" t="n">
        <x:f>C20*MIN(1,E20*$K$6)</x:f>
        <x:v>13299.999999999998</x:v>
      </x:c>
      <x:c r="G20" s="7" t="n">
        <x:f>C20*MIN(1,E20*$K$7)</x:f>
        <x:v>19000</x:v>
      </x:c>
      <x:c r="H20" s="7" t="n">
        <x:f>C20*MIN(1,E20*$K$8)</x:f>
        <x:v>24700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 t="str">
        <x:v>O0119</x:v>
      </x:c>
      <x:c r="B21" s="1" t="str">
        <x:v>Prospect Identified</x:v>
      </x:c>
      <x:c r="C21" s="1" t="n">
        <x:v>341000</x:v>
      </x:c>
      <x:c r="D21" s="8" t="d">
        <x:v>2026-11-02T00:00:00.000Z</x:v>
      </x:c>
      <x:c r="E21" s="12" t="n">
        <x:v>0.03</x:v>
      </x:c>
      <x:c r="F21" s="7" t="n">
        <x:f>C21*MIN(1,E21*$K$6)</x:f>
        <x:v>7160.999999999999</x:v>
      </x:c>
      <x:c r="G21" s="7" t="n">
        <x:f>C21*MIN(1,E21*$K$7)</x:f>
        <x:v>10230</x:v>
      </x:c>
      <x:c r="H21" s="7" t="n">
        <x:f>C21*MIN(1,E21*$K$8)</x:f>
        <x:v>13299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 t="str">
        <x:v>O0120</x:v>
      </x:c>
      <x:c r="B22" s="1" t="str">
        <x:v>Meeting Scheduled</x:v>
      </x:c>
      <x:c r="C22" s="1" t="n">
        <x:v>151000</x:v>
      </x:c>
      <x:c r="D22" s="8" t="d">
        <x:v>2026-12-10T00:00:00.000Z</x:v>
      </x:c>
      <x:c r="E22" s="12" t="n">
        <x:v>0.3</x:v>
      </x:c>
      <x:c r="F22" s="7" t="n">
        <x:f>C22*MIN(1,E22*$K$6)</x:f>
        <x:v>31710</x:v>
      </x:c>
      <x:c r="G22" s="7" t="n">
        <x:f>C22*MIN(1,E22*$K$7)</x:f>
        <x:v>45300</x:v>
      </x:c>
      <x:c r="H22" s="7" t="n">
        <x:f>C22*MIN(1,E22*$K$8)</x:f>
        <x:v>58890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 t="str">
        <x:v>O0122</x:v>
      </x:c>
      <x:c r="B23" s="1" t="str">
        <x:v>Proposal Sent</x:v>
      </x:c>
      <x:c r="C23" s="1" t="n">
        <x:v>688000</x:v>
      </x:c>
      <x:c r="D23" s="8" t="d">
        <x:v>2026-12-02T00:00:00.000Z</x:v>
      </x:c>
      <x:c r="E23" s="12" t="n">
        <x:v>0.5</x:v>
      </x:c>
      <x:c r="F23" s="7" t="n">
        <x:f>C23*MIN(1,E23*$K$6)</x:f>
        <x:v>240799.99999999997</x:v>
      </x:c>
      <x:c r="G23" s="7" t="n">
        <x:f>C23*MIN(1,E23*$K$7)</x:f>
        <x:v>344000</x:v>
      </x:c>
      <x:c r="H23" s="7" t="n">
        <x:f>C23*MIN(1,E23*$K$8)</x:f>
        <x:v>447200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 t="str">
        <x:v>O0133</x:v>
      </x:c>
      <x:c r="B24" s="1" t="str">
        <x:v>Prospect Identified</x:v>
      </x:c>
      <x:c r="C24" s="1" t="n">
        <x:v>131000</x:v>
      </x:c>
      <x:c r="D24" s="8" t="d">
        <x:v>2026-12-01T00:00:00.000Z</x:v>
      </x:c>
      <x:c r="E24" s="12" t="n">
        <x:v>0.03</x:v>
      </x:c>
      <x:c r="F24" s="7" t="n">
        <x:f>C24*MIN(1,E24*$K$6)</x:f>
        <x:v>2750.9999999999995</x:v>
      </x:c>
      <x:c r="G24" s="7" t="n">
        <x:f>C24*MIN(1,E24*$K$7)</x:f>
        <x:v>3930</x:v>
      </x:c>
      <x:c r="H24" s="7" t="n">
        <x:f>C24*MIN(1,E24*$K$8)</x:f>
        <x:v>5109</x:v>
      </x:c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 t="str">
        <x:v>O0142</x:v>
      </x:c>
      <x:c r="B25" s="1" t="str">
        <x:v>Prospect Identified</x:v>
      </x:c>
      <x:c r="C25" s="1" t="n">
        <x:v>261000</x:v>
      </x:c>
      <x:c r="D25" s="8" t="d">
        <x:v>2026-11-12T00:00:00.000Z</x:v>
      </x:c>
      <x:c r="E25" s="12" t="n">
        <x:v>0.03</x:v>
      </x:c>
      <x:c r="F25" s="7" t="n">
        <x:f>C25*MIN(1,E25*$K$6)</x:f>
        <x:v>5480.999999999999</x:v>
      </x:c>
      <x:c r="G25" s="7" t="n">
        <x:f>C25*MIN(1,E25*$K$7)</x:f>
        <x:v>7830</x:v>
      </x:c>
      <x:c r="H25" s="7" t="n">
        <x:f>C25*MIN(1,E25*$K$8)</x:f>
        <x:v>10179</x:v>
      </x:c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 t="str">
        <x:v>O0146</x:v>
      </x:c>
      <x:c r="B26" s="1" t="str">
        <x:v>Qualified</x:v>
      </x:c>
      <x:c r="C26" s="1" t="n">
        <x:v>110000</x:v>
      </x:c>
      <x:c r="D26" s="8" t="d">
        <x:v>2026-12-24T00:00:00.000Z</x:v>
      </x:c>
      <x:c r="E26" s="12" t="n">
        <x:v>0.1</x:v>
      </x:c>
      <x:c r="F26" s="7" t="n">
        <x:f>C26*MIN(1,E26*$K$6)</x:f>
        <x:v>7699.999999999999</x:v>
      </x:c>
      <x:c r="G26" s="7" t="n">
        <x:f>C26*MIN(1,E26*$K$7)</x:f>
        <x:v>11000</x:v>
      </x:c>
      <x:c r="H26" s="7" t="n">
        <x:f>C26*MIN(1,E26*$K$8)</x:f>
        <x:v>14300</x:v>
      </x:c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 t="str">
        <x:v>O0170</x:v>
      </x:c>
      <x:c r="B27" s="1" t="str">
        <x:v>Initial Contact</x:v>
      </x:c>
      <x:c r="C27" s="1" t="n">
        <x:v>737000</x:v>
      </x:c>
      <x:c r="D27" s="8" t="d">
        <x:v>2026-10-09T00:00:00.000Z</x:v>
      </x:c>
      <x:c r="E27" s="12" t="n">
        <x:v>0.18</x:v>
      </x:c>
      <x:c r="F27" s="7" t="n">
        <x:f>C27*MIN(1,E27*$K$6)</x:f>
        <x:v>92862</x:v>
      </x:c>
      <x:c r="G27" s="7" t="n">
        <x:f>C27*MIN(1,E27*$K$7)</x:f>
        <x:v>132660</x:v>
      </x:c>
      <x:c r="H27" s="7" t="n">
        <x:f>C27*MIN(1,E27*$K$8)</x:f>
        <x:v>172458</x:v>
      </x:c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 t="str">
        <x:v>O0171</x:v>
      </x:c>
      <x:c r="B28" s="1" t="str">
        <x:v>Qualified</x:v>
      </x:c>
      <x:c r="C28" s="1" t="n">
        <x:v>192000</x:v>
      </x:c>
      <x:c r="D28" s="8" t="d">
        <x:v>2026-12-02T00:00:00.000Z</x:v>
      </x:c>
      <x:c r="E28" s="12" t="n">
        <x:v>0.1</x:v>
      </x:c>
      <x:c r="F28" s="7" t="n">
        <x:f>C28*MIN(1,E28*$K$6)</x:f>
        <x:v>13439.999999999998</x:v>
      </x:c>
      <x:c r="G28" s="7" t="n">
        <x:f>C28*MIN(1,E28*$K$7)</x:f>
        <x:v>19200</x:v>
      </x:c>
      <x:c r="H28" s="7" t="n">
        <x:f>C28*MIN(1,E28*$K$8)</x:f>
        <x:v>24960</x:v>
      </x:c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 t="str">
        <x:v>O0173</x:v>
      </x:c>
      <x:c r="B29" s="1" t="str">
        <x:v>Qualified</x:v>
      </x:c>
      <x:c r="C29" s="1" t="n">
        <x:v>420000</x:v>
      </x:c>
      <x:c r="D29" s="8" t="d">
        <x:v>2026-10-18T00:00:00.000Z</x:v>
      </x:c>
      <x:c r="E29" s="12" t="n">
        <x:v>0.1</x:v>
      </x:c>
      <x:c r="F29" s="7" t="n">
        <x:f>C29*MIN(1,E29*$K$6)</x:f>
        <x:v>29399.999999999996</x:v>
      </x:c>
      <x:c r="G29" s="7" t="n">
        <x:f>C29*MIN(1,E29*$K$7)</x:f>
        <x:v>42000</x:v>
      </x:c>
      <x:c r="H29" s="7" t="n">
        <x:f>C29*MIN(1,E29*$K$8)</x:f>
        <x:v>54600</x:v>
      </x:c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 t="str">
        <x:v>O0174</x:v>
      </x:c>
      <x:c r="B30" s="1" t="str">
        <x:v>Prospect Identified</x:v>
      </x:c>
      <x:c r="C30" s="1" t="n">
        <x:v>170000</x:v>
      </x:c>
      <x:c r="D30" s="8" t="d">
        <x:v>2026-11-16T00:00:00.000Z</x:v>
      </x:c>
      <x:c r="E30" s="12" t="n">
        <x:v>0.03</x:v>
      </x:c>
      <x:c r="F30" s="7" t="n">
        <x:f>C30*MIN(1,E30*$K$6)</x:f>
        <x:v>3569.9999999999995</x:v>
      </x:c>
      <x:c r="G30" s="7" t="n">
        <x:f>C30*MIN(1,E30*$K$7)</x:f>
        <x:v>5100</x:v>
      </x:c>
      <x:c r="H30" s="7" t="n">
        <x:f>C30*MIN(1,E30*$K$8)</x:f>
        <x:v>6630</x:v>
      </x:c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 t="str">
        <x:v>O0185</x:v>
      </x:c>
      <x:c r="B31" s="1" t="str">
        <x:v>Prospect Identified</x:v>
      </x:c>
      <x:c r="C31" s="1" t="n">
        <x:v>114000</x:v>
      </x:c>
      <x:c r="D31" s="8" t="d">
        <x:v>2026-12-19T00:00:00.000Z</x:v>
      </x:c>
      <x:c r="E31" s="12" t="n">
        <x:v>0.03</x:v>
      </x:c>
      <x:c r="F31" s="7" t="n">
        <x:f>C31*MIN(1,E31*$K$6)</x:f>
        <x:v>2393.9999999999995</x:v>
      </x:c>
      <x:c r="G31" s="7" t="n">
        <x:f>C31*MIN(1,E31*$K$7)</x:f>
        <x:v>3420</x:v>
      </x:c>
      <x:c r="H31" s="7" t="n">
        <x:f>C31*MIN(1,E31*$K$8)</x:f>
        <x:v>4446</x:v>
      </x:c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 t="str">
        <x:v>O0189</x:v>
      </x:c>
      <x:c r="B32" s="1" t="str">
        <x:v>Initial Contact</x:v>
      </x:c>
      <x:c r="C32" s="1" t="n">
        <x:v>672000</x:v>
      </x:c>
      <x:c r="D32" s="8" t="d">
        <x:v>2026-12-22T00:00:00.000Z</x:v>
      </x:c>
      <x:c r="E32" s="12" t="n">
        <x:v>0.18</x:v>
      </x:c>
      <x:c r="F32" s="7" t="n">
        <x:f>C32*MIN(1,E32*$K$6)</x:f>
        <x:v>84672</x:v>
      </x:c>
      <x:c r="G32" s="7" t="n">
        <x:f>C32*MIN(1,E32*$K$7)</x:f>
        <x:v>120960</x:v>
      </x:c>
      <x:c r="H32" s="7" t="n">
        <x:f>C32*MIN(1,E32*$K$8)</x:f>
        <x:v>157248</x:v>
      </x:c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 t="str">
        <x:v>O0190</x:v>
      </x:c>
      <x:c r="B33" s="1" t="str">
        <x:v>Proposal Sent</x:v>
      </x:c>
      <x:c r="C33" s="1" t="n">
        <x:v>163000</x:v>
      </x:c>
      <x:c r="D33" s="8" t="d">
        <x:v>2026-11-17T00:00:00.000Z</x:v>
      </x:c>
      <x:c r="E33" s="12" t="n">
        <x:v>0.5</x:v>
      </x:c>
      <x:c r="F33" s="7" t="n">
        <x:f>C33*MIN(1,E33*$K$6)</x:f>
        <x:v>57050</x:v>
      </x:c>
      <x:c r="G33" s="7" t="n">
        <x:f>C33*MIN(1,E33*$K$7)</x:f>
        <x:v>81500</x:v>
      </x:c>
      <x:c r="H33" s="7" t="n">
        <x:f>C33*MIN(1,E33*$K$8)</x:f>
        <x:v>105950</x:v>
      </x:c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 t="str">
        <x:v>O0191</x:v>
      </x:c>
      <x:c r="B34" s="1" t="str">
        <x:v>Initial Contact</x:v>
      </x:c>
      <x:c r="C34" s="1" t="n">
        <x:v>128000</x:v>
      </x:c>
      <x:c r="D34" s="8" t="d">
        <x:v>2026-12-28T00:00:00.000Z</x:v>
      </x:c>
      <x:c r="E34" s="12" t="n">
        <x:v>0.18</x:v>
      </x:c>
      <x:c r="F34" s="7" t="n">
        <x:f>C34*MIN(1,E34*$K$6)</x:f>
        <x:v>16128</x:v>
      </x:c>
      <x:c r="G34" s="7" t="n">
        <x:f>C34*MIN(1,E34*$K$7)</x:f>
        <x:v>23040</x:v>
      </x:c>
      <x:c r="H34" s="7" t="n">
        <x:f>C34*MIN(1,E34*$K$8)</x:f>
        <x:v>29952</x:v>
      </x:c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 t="str">
        <x:v>O0193</x:v>
      </x:c>
      <x:c r="B35" s="1" t="str">
        <x:v>Meeting Scheduled</x:v>
      </x:c>
      <x:c r="C35" s="1" t="n">
        <x:v>187000</x:v>
      </x:c>
      <x:c r="D35" s="8" t="d">
        <x:v>2026-10-27T00:00:00.000Z</x:v>
      </x:c>
      <x:c r="E35" s="12" t="n">
        <x:v>0.3</x:v>
      </x:c>
      <x:c r="F35" s="7" t="n">
        <x:f>C35*MIN(1,E35*$K$6)</x:f>
        <x:v>39270</x:v>
      </x:c>
      <x:c r="G35" s="7" t="n">
        <x:f>C35*MIN(1,E35*$K$7)</x:f>
        <x:v>56100</x:v>
      </x:c>
      <x:c r="H35" s="7" t="n">
        <x:f>C35*MIN(1,E35*$K$8)</x:f>
        <x:v>72930</x:v>
      </x:c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 t="str">
        <x:v>O0194</x:v>
      </x:c>
      <x:c r="B36" s="1" t="str">
        <x:v>Qualified</x:v>
      </x:c>
      <x:c r="C36" s="1" t="n">
        <x:v>155000</x:v>
      </x:c>
      <x:c r="D36" s="8" t="d">
        <x:v>2026-12-09T00:00:00.000Z</x:v>
      </x:c>
      <x:c r="E36" s="12" t="n">
        <x:v>0.1</x:v>
      </x:c>
      <x:c r="F36" s="7" t="n">
        <x:f>C36*MIN(1,E36*$K$6)</x:f>
        <x:v>10849.999999999998</x:v>
      </x:c>
      <x:c r="G36" s="7" t="n">
        <x:f>C36*MIN(1,E36*$K$7)</x:f>
        <x:v>15500</x:v>
      </x:c>
      <x:c r="H36" s="7" t="n">
        <x:f>C36*MIN(1,E36*$K$8)</x:f>
        <x:v>20150</x:v>
      </x:c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 t="str">
        <x:v>O0205</x:v>
      </x:c>
      <x:c r="B37" s="1" t="str">
        <x:v>Prospect Identified</x:v>
      </x:c>
      <x:c r="C37" s="1" t="n">
        <x:v>90000</x:v>
      </x:c>
      <x:c r="D37" s="8" t="d">
        <x:v>2026-12-17T00:00:00.000Z</x:v>
      </x:c>
      <x:c r="E37" s="12" t="n">
        <x:v>0.03</x:v>
      </x:c>
      <x:c r="F37" s="7" t="n">
        <x:f>C37*MIN(1,E37*$K$6)</x:f>
        <x:v>1889.9999999999998</x:v>
      </x:c>
      <x:c r="G37" s="7" t="n">
        <x:f>C37*MIN(1,E37*$K$7)</x:f>
        <x:v>2700</x:v>
      </x:c>
      <x:c r="H37" s="7" t="n">
        <x:f>C37*MIN(1,E37*$K$8)</x:f>
        <x:v>3510</x:v>
      </x:c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 t="str">
        <x:v>O0216</x:v>
      </x:c>
      <x:c r="B38" s="1" t="str">
        <x:v>Meeting Scheduled</x:v>
      </x:c>
      <x:c r="C38" s="1" t="n">
        <x:v>261000</x:v>
      </x:c>
      <x:c r="D38" s="8" t="d">
        <x:v>2026-10-08T00:00:00.000Z</x:v>
      </x:c>
      <x:c r="E38" s="12" t="n">
        <x:v>0.3</x:v>
      </x:c>
      <x:c r="F38" s="7" t="n">
        <x:f>C38*MIN(1,E38*$K$6)</x:f>
        <x:v>54810</x:v>
      </x:c>
      <x:c r="G38" s="7" t="n">
        <x:f>C38*MIN(1,E38*$K$7)</x:f>
        <x:v>78300</x:v>
      </x:c>
      <x:c r="H38" s="7" t="n">
        <x:f>C38*MIN(1,E38*$K$8)</x:f>
        <x:v>101790</x:v>
      </x:c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 t="str">
        <x:v>O0222</x:v>
      </x:c>
      <x:c r="B39" s="1" t="str">
        <x:v>Meeting Scheduled</x:v>
      </x:c>
      <x:c r="C39" s="1" t="n">
        <x:v>263000</x:v>
      </x:c>
      <x:c r="D39" s="8" t="d">
        <x:v>2026-11-04T00:00:00.000Z</x:v>
      </x:c>
      <x:c r="E39" s="12" t="n">
        <x:v>0.3</x:v>
      </x:c>
      <x:c r="F39" s="7" t="n">
        <x:f>C39*MIN(1,E39*$K$6)</x:f>
        <x:v>55230</x:v>
      </x:c>
      <x:c r="G39" s="7" t="n">
        <x:f>C39*MIN(1,E39*$K$7)</x:f>
        <x:v>78900</x:v>
      </x:c>
      <x:c r="H39" s="7" t="n">
        <x:f>C39*MIN(1,E39*$K$8)</x:f>
        <x:v>102570</x:v>
      </x:c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 t="str">
        <x:v>O0226</x:v>
      </x:c>
      <x:c r="B40" s="1" t="str">
        <x:v>Proposal Sent</x:v>
      </x:c>
      <x:c r="C40" s="1" t="n">
        <x:v>400000</x:v>
      </x:c>
      <x:c r="D40" s="8" t="d">
        <x:v>2026-10-19T00:00:00.000Z</x:v>
      </x:c>
      <x:c r="E40" s="12" t="n">
        <x:v>0.5</x:v>
      </x:c>
      <x:c r="F40" s="7" t="n">
        <x:f>C40*MIN(1,E40*$K$6)</x:f>
        <x:v>140000</x:v>
      </x:c>
      <x:c r="G40" s="7" t="n">
        <x:f>C40*MIN(1,E40*$K$7)</x:f>
        <x:v>200000</x:v>
      </x:c>
      <x:c r="H40" s="7" t="n">
        <x:f>C40*MIN(1,E40*$K$8)</x:f>
        <x:v>260000</x:v>
      </x:c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 t="str">
        <x:v>O0231</x:v>
      </x:c>
      <x:c r="B41" s="1" t="str">
        <x:v>Qualified</x:v>
      </x:c>
      <x:c r="C41" s="1" t="n">
        <x:v>383000</x:v>
      </x:c>
      <x:c r="D41" s="8" t="d">
        <x:v>2026-12-24T00:00:00.000Z</x:v>
      </x:c>
      <x:c r="E41" s="12" t="n">
        <x:v>0.1</x:v>
      </x:c>
      <x:c r="F41" s="7" t="n">
        <x:f>C41*MIN(1,E41*$K$6)</x:f>
        <x:v>26809.999999999996</x:v>
      </x:c>
      <x:c r="G41" s="7" t="n">
        <x:f>C41*MIN(1,E41*$K$7)</x:f>
        <x:v>38300</x:v>
      </x:c>
      <x:c r="H41" s="7" t="n">
        <x:f>C41*MIN(1,E41*$K$8)</x:f>
        <x:v>49790</x:v>
      </x:c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 t="str">
        <x:v>O0232</x:v>
      </x:c>
      <x:c r="B42" s="1" t="str">
        <x:v>Initial Contact</x:v>
      </x:c>
      <x:c r="C42" s="1" t="n">
        <x:v>658000</x:v>
      </x:c>
      <x:c r="D42" s="8" t="d">
        <x:v>2026-10-22T00:00:00.000Z</x:v>
      </x:c>
      <x:c r="E42" s="12" t="n">
        <x:v>0.18</x:v>
      </x:c>
      <x:c r="F42" s="7" t="n">
        <x:f>C42*MIN(1,E42*$K$6)</x:f>
        <x:v>82908</x:v>
      </x:c>
      <x:c r="G42" s="7" t="n">
        <x:f>C42*MIN(1,E42*$K$7)</x:f>
        <x:v>118440</x:v>
      </x:c>
      <x:c r="H42" s="7" t="n">
        <x:f>C42*MIN(1,E42*$K$8)</x:f>
        <x:v>153972</x:v>
      </x:c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 t="str">
        <x:v>O0239</x:v>
      </x:c>
      <x:c r="B43" s="1" t="str">
        <x:v>Prospect Identified</x:v>
      </x:c>
      <x:c r="C43" s="1" t="n">
        <x:v>393000</x:v>
      </x:c>
      <x:c r="D43" s="8" t="d">
        <x:v>2026-10-17T00:00:00.000Z</x:v>
      </x:c>
      <x:c r="E43" s="12" t="n">
        <x:v>0.03</x:v>
      </x:c>
      <x:c r="F43" s="7" t="n">
        <x:f>C43*MIN(1,E43*$K$6)</x:f>
        <x:v>8253</x:v>
      </x:c>
      <x:c r="G43" s="7" t="n">
        <x:f>C43*MIN(1,E43*$K$7)</x:f>
        <x:v>11790</x:v>
      </x:c>
      <x:c r="H43" s="7" t="n">
        <x:f>C43*MIN(1,E43*$K$8)</x:f>
        <x:v>15327</x:v>
      </x:c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 t="str">
        <x:v>O0241</x:v>
      </x:c>
      <x:c r="B44" s="1" t="str">
        <x:v>Meeting Scheduled</x:v>
      </x:c>
      <x:c r="C44" s="1" t="n">
        <x:v>411000</x:v>
      </x:c>
      <x:c r="D44" s="8" t="d">
        <x:v>2026-10-14T00:00:00.000Z</x:v>
      </x:c>
      <x:c r="E44" s="12" t="n">
        <x:v>0.3</x:v>
      </x:c>
      <x:c r="F44" s="7" t="n">
        <x:f>C44*MIN(1,E44*$K$6)</x:f>
        <x:v>86310</x:v>
      </x:c>
      <x:c r="G44" s="7" t="n">
        <x:f>C44*MIN(1,E44*$K$7)</x:f>
        <x:v>123300</x:v>
      </x:c>
      <x:c r="H44" s="7" t="n">
        <x:f>C44*MIN(1,E44*$K$8)</x:f>
        <x:v>160290</x:v>
      </x:c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 t="str">
        <x:v>O0246</x:v>
      </x:c>
      <x:c r="B45" s="1" t="str">
        <x:v>Qualified</x:v>
      </x:c>
      <x:c r="C45" s="1" t="n">
        <x:v>178000</x:v>
      </x:c>
      <x:c r="D45" s="8" t="d">
        <x:v>2026-11-08T00:00:00.000Z</x:v>
      </x:c>
      <x:c r="E45" s="12" t="n">
        <x:v>0.1</x:v>
      </x:c>
      <x:c r="F45" s="7" t="n">
        <x:f>C45*MIN(1,E45*$K$6)</x:f>
        <x:v>12459.999999999998</x:v>
      </x:c>
      <x:c r="G45" s="7" t="n">
        <x:f>C45*MIN(1,E45*$K$7)</x:f>
        <x:v>17800</x:v>
      </x:c>
      <x:c r="H45" s="7" t="n">
        <x:f>C45*MIN(1,E45*$K$8)</x:f>
        <x:v>23140</x:v>
      </x:c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 t="str">
        <x:v>O0249</x:v>
      </x:c>
      <x:c r="B46" s="1" t="str">
        <x:v>Qualified</x:v>
      </x:c>
      <x:c r="C46" s="1" t="n">
        <x:v>293000</x:v>
      </x:c>
      <x:c r="D46" s="8" t="d">
        <x:v>2026-11-11T00:00:00.000Z</x:v>
      </x:c>
      <x:c r="E46" s="12" t="n">
        <x:v>0.1</x:v>
      </x:c>
      <x:c r="F46" s="7" t="n">
        <x:f>C46*MIN(1,E46*$K$6)</x:f>
        <x:v>20509.999999999996</x:v>
      </x:c>
      <x:c r="G46" s="7" t="n">
        <x:f>C46*MIN(1,E46*$K$7)</x:f>
        <x:v>29300</x:v>
      </x:c>
      <x:c r="H46" s="7" t="n">
        <x:f>C46*MIN(1,E46*$K$8)</x:f>
        <x:v>38090</x:v>
      </x:c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 t="str">
        <x:v>O0254</x:v>
      </x:c>
      <x:c r="B47" s="1" t="str">
        <x:v>Qualified</x:v>
      </x:c>
      <x:c r="C47" s="1" t="n">
        <x:v>94000</x:v>
      </x:c>
      <x:c r="D47" s="8" t="d">
        <x:v>2026-12-09T00:00:00.000Z</x:v>
      </x:c>
      <x:c r="E47" s="12" t="n">
        <x:v>0.1</x:v>
      </x:c>
      <x:c r="F47" s="7" t="n">
        <x:f>C47*MIN(1,E47*$K$6)</x:f>
        <x:v>6579.999999999999</x:v>
      </x:c>
      <x:c r="G47" s="7" t="n">
        <x:f>C47*MIN(1,E47*$K$7)</x:f>
        <x:v>9400</x:v>
      </x:c>
      <x:c r="H47" s="7" t="n">
        <x:f>C47*MIN(1,E47*$K$8)</x:f>
        <x:v>12220</x:v>
      </x:c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 t="str">
        <x:v>O0266</x:v>
      </x:c>
      <x:c r="B48" s="1" t="str">
        <x:v>Initial Contact</x:v>
      </x:c>
      <x:c r="C48" s="1" t="n">
        <x:v>209000</x:v>
      </x:c>
      <x:c r="D48" s="8" t="d">
        <x:v>2026-12-03T00:00:00.000Z</x:v>
      </x:c>
      <x:c r="E48" s="12" t="n">
        <x:v>0.18</x:v>
      </x:c>
      <x:c r="F48" s="7" t="n">
        <x:f>C48*MIN(1,E48*$K$6)</x:f>
        <x:v>26334</x:v>
      </x:c>
      <x:c r="G48" s="7" t="n">
        <x:f>C48*MIN(1,E48*$K$7)</x:f>
        <x:v>37620</x:v>
      </x:c>
      <x:c r="H48" s="7" t="n">
        <x:f>C48*MIN(1,E48*$K$8)</x:f>
        <x:v>48906</x:v>
      </x:c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2" customHeight="1">
      <x:c r="A49" s="1" t="str">
        <x:v>O0268</x:v>
      </x:c>
      <x:c r="B49" s="1" t="str">
        <x:v>Prospect Identified</x:v>
      </x:c>
      <x:c r="C49" s="1" t="n">
        <x:v>289000</x:v>
      </x:c>
      <x:c r="D49" s="8" t="d">
        <x:v>2026-11-22T00:00:00.000Z</x:v>
      </x:c>
      <x:c r="E49" s="12" t="n">
        <x:v>0.03</x:v>
      </x:c>
      <x:c r="F49" s="7" t="n">
        <x:f>C49*MIN(1,E49*$K$6)</x:f>
        <x:v>6068.999999999999</x:v>
      </x:c>
      <x:c r="G49" s="7" t="n">
        <x:f>C49*MIN(1,E49*$K$7)</x:f>
        <x:v>8670</x:v>
      </x:c>
      <x:c r="H49" s="7" t="n">
        <x:f>C49*MIN(1,E49*$K$8)</x:f>
        <x:v>11271</x:v>
      </x:c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2" customHeight="1">
      <x:c r="A50" s="1" t="str">
        <x:v>O0270</x:v>
      </x:c>
      <x:c r="B50" s="1" t="str">
        <x:v>Prospect Identified</x:v>
      </x:c>
      <x:c r="C50" s="1" t="n">
        <x:v>130000</x:v>
      </x:c>
      <x:c r="D50" s="8" t="d">
        <x:v>2026-10-20T00:00:00.000Z</x:v>
      </x:c>
      <x:c r="E50" s="12" t="n">
        <x:v>0.03</x:v>
      </x:c>
      <x:c r="F50" s="7" t="n">
        <x:f>C50*MIN(1,E50*$K$6)</x:f>
        <x:v>2729.9999999999995</x:v>
      </x:c>
      <x:c r="G50" s="7" t="n">
        <x:f>C50*MIN(1,E50*$K$7)</x:f>
        <x:v>3900</x:v>
      </x:c>
      <x:c r="H50" s="7" t="n">
        <x:f>C50*MIN(1,E50*$K$8)</x:f>
        <x:v>5070</x:v>
      </x:c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2" customHeight="1">
      <x:c r="A51" s="1" t="str">
        <x:v>O0279</x:v>
      </x:c>
      <x:c r="B51" s="1" t="str">
        <x:v>Proposal Sent</x:v>
      </x:c>
      <x:c r="C51" s="1" t="n">
        <x:v>329000</x:v>
      </x:c>
      <x:c r="D51" s="8" t="d">
        <x:v>2026-10-28T00:00:00.000Z</x:v>
      </x:c>
      <x:c r="E51" s="12" t="n">
        <x:v>0.5</x:v>
      </x:c>
      <x:c r="F51" s="7" t="n">
        <x:f>C51*MIN(1,E51*$K$6)</x:f>
        <x:v>115149.99999999999</x:v>
      </x:c>
      <x:c r="G51" s="7" t="n">
        <x:f>C51*MIN(1,E51*$K$7)</x:f>
        <x:v>164500</x:v>
      </x:c>
      <x:c r="H51" s="7" t="n">
        <x:f>C51*MIN(1,E51*$K$8)</x:f>
        <x:v>213850</x:v>
      </x:c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2" customHeight="1">
      <x:c r="A52" s="1" t="str">
        <x:v>O0284</x:v>
      </x:c>
      <x:c r="B52" s="1" t="str">
        <x:v>Prospect Identified</x:v>
      </x:c>
      <x:c r="C52" s="1" t="n">
        <x:v>106000</x:v>
      </x:c>
      <x:c r="D52" s="8" t="d">
        <x:v>2026-11-18T00:00:00.000Z</x:v>
      </x:c>
      <x:c r="E52" s="12" t="n">
        <x:v>0.03</x:v>
      </x:c>
      <x:c r="F52" s="7" t="n">
        <x:f>C52*MIN(1,E52*$K$6)</x:f>
        <x:v>2225.9999999999995</x:v>
      </x:c>
      <x:c r="G52" s="7" t="n">
        <x:f>C52*MIN(1,E52*$K$7)</x:f>
        <x:v>3180</x:v>
      </x:c>
      <x:c r="H52" s="7" t="n">
        <x:f>C52*MIN(1,E52*$K$8)</x:f>
        <x:v>4134</x:v>
      </x:c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2" customHeight="1">
      <x:c r="A53" s="1" t="str">
        <x:v>O0291</x:v>
      </x:c>
      <x:c r="B53" s="1" t="str">
        <x:v>Qualified</x:v>
      </x:c>
      <x:c r="C53" s="1" t="n">
        <x:v>205000</x:v>
      </x:c>
      <x:c r="D53" s="8" t="d">
        <x:v>2026-10-12T00:00:00.000Z</x:v>
      </x:c>
      <x:c r="E53" s="12" t="n">
        <x:v>0.1</x:v>
      </x:c>
      <x:c r="F53" s="7" t="n">
        <x:f>C53*MIN(1,E53*$K$6)</x:f>
        <x:v>14349.999999999998</x:v>
      </x:c>
      <x:c r="G53" s="7" t="n">
        <x:f>C53*MIN(1,E53*$K$7)</x:f>
        <x:v>20500</x:v>
      </x:c>
      <x:c r="H53" s="7" t="n">
        <x:f>C53*MIN(1,E53*$K$8)</x:f>
        <x:v>26650</x:v>
      </x:c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2" customHeight="1">
      <x:c r="A54" s="1" t="str">
        <x:v>O0293</x:v>
      </x:c>
      <x:c r="B54" s="1" t="str">
        <x:v>Prospect Identified</x:v>
      </x:c>
      <x:c r="C54" s="1" t="n">
        <x:v>416000</x:v>
      </x:c>
      <x:c r="D54" s="8" t="d">
        <x:v>2026-12-09T00:00:00.000Z</x:v>
      </x:c>
      <x:c r="E54" s="12" t="n">
        <x:v>0.03</x:v>
      </x:c>
      <x:c r="F54" s="7" t="n">
        <x:f>C54*MIN(1,E54*$K$6)</x:f>
        <x:v>8736</x:v>
      </x:c>
      <x:c r="G54" s="7" t="n">
        <x:f>C54*MIN(1,E54*$K$7)</x:f>
        <x:v>12480</x:v>
      </x:c>
      <x:c r="H54" s="7" t="n">
        <x:f>C54*MIN(1,E54*$K$8)</x:f>
        <x:v>16224</x:v>
      </x:c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2" customHeight="1">
      <x:c r="A55" s="1" t="str">
        <x:v>O0295</x:v>
      </x:c>
      <x:c r="B55" s="1" t="str">
        <x:v>Initial Contact</x:v>
      </x:c>
      <x:c r="C55" s="1" t="n">
        <x:v>280000</x:v>
      </x:c>
      <x:c r="D55" s="8" t="d">
        <x:v>2026-12-15T00:00:00.000Z</x:v>
      </x:c>
      <x:c r="E55" s="12" t="n">
        <x:v>0.18</x:v>
      </x:c>
      <x:c r="F55" s="7" t="n">
        <x:f>C55*MIN(1,E55*$K$6)</x:f>
        <x:v>35280</x:v>
      </x:c>
      <x:c r="G55" s="7" t="n">
        <x:f>C55*MIN(1,E55*$K$7)</x:f>
        <x:v>50400</x:v>
      </x:c>
      <x:c r="H55" s="7" t="n">
        <x:f>C55*MIN(1,E55*$K$8)</x:f>
        <x:v>65519.99999999999</x:v>
      </x:c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2" customHeight="1">
      <x:c r="A56" s="1" t="str">
        <x:v>O0296</x:v>
      </x:c>
      <x:c r="B56" s="1" t="str">
        <x:v>Meeting Scheduled</x:v>
      </x:c>
      <x:c r="C56" s="1" t="n">
        <x:v>281000</x:v>
      </x:c>
      <x:c r="D56" s="8" t="d">
        <x:v>2026-10-02T00:00:00.000Z</x:v>
      </x:c>
      <x:c r="E56" s="12" t="n">
        <x:v>0.3</x:v>
      </x:c>
      <x:c r="F56" s="7" t="n">
        <x:f>C56*MIN(1,E56*$K$6)</x:f>
        <x:v>59010</x:v>
      </x:c>
      <x:c r="G56" s="7" t="n">
        <x:f>C56*MIN(1,E56*$K$7)</x:f>
        <x:v>84300</x:v>
      </x:c>
      <x:c r="H56" s="7" t="n">
        <x:f>C56*MIN(1,E56*$K$8)</x:f>
        <x:v>109590</x:v>
      </x:c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2" customHeight="1">
      <x:c r="A57" s="1" t="str">
        <x:v>O0301</x:v>
      </x:c>
      <x:c r="B57" s="1" t="str">
        <x:v>Meeting Scheduled</x:v>
      </x:c>
      <x:c r="C57" s="1" t="n">
        <x:v>775000</x:v>
      </x:c>
      <x:c r="D57" s="8" t="d">
        <x:v>2026-10-08T00:00:00.000Z</x:v>
      </x:c>
      <x:c r="E57" s="12" t="n">
        <x:v>0.3</x:v>
      </x:c>
      <x:c r="F57" s="7" t="n">
        <x:f>C57*MIN(1,E57*$K$6)</x:f>
        <x:v>162750</x:v>
      </x:c>
      <x:c r="G57" s="7" t="n">
        <x:f>C57*MIN(1,E57*$K$7)</x:f>
        <x:v>232500</x:v>
      </x:c>
      <x:c r="H57" s="7" t="n">
        <x:f>C57*MIN(1,E57*$K$8)</x:f>
        <x:v>302250</x:v>
      </x:c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2" customHeight="1">
      <x:c r="A58" s="1" t="str">
        <x:v>O0303</x:v>
      </x:c>
      <x:c r="B58" s="1" t="str">
        <x:v>Qualified</x:v>
      </x:c>
      <x:c r="C58" s="1" t="n">
        <x:v>249000</x:v>
      </x:c>
      <x:c r="D58" s="8" t="d">
        <x:v>2026-10-14T00:00:00.000Z</x:v>
      </x:c>
      <x:c r="E58" s="12" t="n">
        <x:v>0.1</x:v>
      </x:c>
      <x:c r="F58" s="7" t="n">
        <x:f>C58*MIN(1,E58*$K$6)</x:f>
        <x:v>17430</x:v>
      </x:c>
      <x:c r="G58" s="7" t="n">
        <x:f>C58*MIN(1,E58*$K$7)</x:f>
        <x:v>24900</x:v>
      </x:c>
      <x:c r="H58" s="7" t="n">
        <x:f>C58*MIN(1,E58*$K$8)</x:f>
        <x:v>32370</x:v>
      </x:c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2" customHeight="1">
      <x:c r="A59" s="1" t="str">
        <x:v>O0310</x:v>
      </x:c>
      <x:c r="B59" s="1" t="str">
        <x:v>Prospect Identified</x:v>
      </x:c>
      <x:c r="C59" s="1" t="n">
        <x:v>343000</x:v>
      </x:c>
      <x:c r="D59" s="8" t="d">
        <x:v>2026-11-16T00:00:00.000Z</x:v>
      </x:c>
      <x:c r="E59" s="12" t="n">
        <x:v>0.03</x:v>
      </x:c>
      <x:c r="F59" s="7" t="n">
        <x:f>C59*MIN(1,E59*$K$6)</x:f>
        <x:v>7202.999999999999</x:v>
      </x:c>
      <x:c r="G59" s="7" t="n">
        <x:f>C59*MIN(1,E59*$K$7)</x:f>
        <x:v>10290</x:v>
      </x:c>
      <x:c r="H59" s="7" t="n">
        <x:f>C59*MIN(1,E59*$K$8)</x:f>
        <x:v>13377</x:v>
      </x:c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2" customHeight="1">
      <x:c r="A60" s="1" t="str">
        <x:v>O0316</x:v>
      </x:c>
      <x:c r="B60" s="1" t="str">
        <x:v>Prospect Identified</x:v>
      </x:c>
      <x:c r="C60" s="1" t="n">
        <x:v>94000</x:v>
      </x:c>
      <x:c r="D60" s="8" t="d">
        <x:v>2026-12-08T00:00:00.000Z</x:v>
      </x:c>
      <x:c r="E60" s="12" t="n">
        <x:v>0.03</x:v>
      </x:c>
      <x:c r="F60" s="7" t="n">
        <x:f>C60*MIN(1,E60*$K$6)</x:f>
        <x:v>1973.9999999999998</x:v>
      </x:c>
      <x:c r="G60" s="7" t="n">
        <x:f>C60*MIN(1,E60*$K$7)</x:f>
        <x:v>2820</x:v>
      </x:c>
      <x:c r="H60" s="7" t="n">
        <x:f>C60*MIN(1,E60*$K$8)</x:f>
        <x:v>3666</x:v>
      </x:c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2" customHeight="1">
      <x:c r="A61" s="1" t="str">
        <x:v>O0321</x:v>
      </x:c>
      <x:c r="B61" s="1" t="str">
        <x:v>Initial Contact</x:v>
      </x:c>
      <x:c r="C61" s="1" t="n">
        <x:v>248000</x:v>
      </x:c>
      <x:c r="D61" s="8" t="d">
        <x:v>2026-11-28T00:00:00.000Z</x:v>
      </x:c>
      <x:c r="E61" s="12" t="n">
        <x:v>0.18</x:v>
      </x:c>
      <x:c r="F61" s="7" t="n">
        <x:f>C61*MIN(1,E61*$K$6)</x:f>
        <x:v>31248</x:v>
      </x:c>
      <x:c r="G61" s="7" t="n">
        <x:f>C61*MIN(1,E61*$K$7)</x:f>
        <x:v>44640</x:v>
      </x:c>
      <x:c r="H61" s="7" t="n">
        <x:f>C61*MIN(1,E61*$K$8)</x:f>
        <x:v>58032</x:v>
      </x:c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2" customHeight="1">
      <x:c r="A62" s="1" t="str">
        <x:v>O0327</x:v>
      </x:c>
      <x:c r="B62" s="1" t="str">
        <x:v>Initial Contact</x:v>
      </x:c>
      <x:c r="C62" s="1" t="n">
        <x:v>100000</x:v>
      </x:c>
      <x:c r="D62" s="8" t="d">
        <x:v>2026-12-17T00:00:00.000Z</x:v>
      </x:c>
      <x:c r="E62" s="12" t="n">
        <x:v>0.18</x:v>
      </x:c>
      <x:c r="F62" s="7" t="n">
        <x:f>C62*MIN(1,E62*$K$6)</x:f>
        <x:v>12600</x:v>
      </x:c>
      <x:c r="G62" s="7" t="n">
        <x:f>C62*MIN(1,E62*$K$7)</x:f>
        <x:v>18000</x:v>
      </x:c>
      <x:c r="H62" s="7" t="n">
        <x:f>C62*MIN(1,E62*$K$8)</x:f>
        <x:v>23400</x:v>
      </x:c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2" customHeight="1">
      <x:c r="A63" s="1" t="str">
        <x:v>O0342</x:v>
      </x:c>
      <x:c r="B63" s="1" t="str">
        <x:v>Proposal Sent</x:v>
      </x:c>
      <x:c r="C63" s="1" t="n">
        <x:v>175000</x:v>
      </x:c>
      <x:c r="D63" s="8" t="d">
        <x:v>2026-10-26T00:00:00.000Z</x:v>
      </x:c>
      <x:c r="E63" s="12" t="n">
        <x:v>0.5</x:v>
      </x:c>
      <x:c r="F63" s="7" t="n">
        <x:f>C63*MIN(1,E63*$K$6)</x:f>
        <x:v>61249.99999999999</x:v>
      </x:c>
      <x:c r="G63" s="7" t="n">
        <x:f>C63*MIN(1,E63*$K$7)</x:f>
        <x:v>87500</x:v>
      </x:c>
      <x:c r="H63" s="7" t="n">
        <x:f>C63*MIN(1,E63*$K$8)</x:f>
        <x:v>113750</x:v>
      </x:c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2" customHeight="1">
      <x:c r="A64" s="1" t="str">
        <x:v>O0343</x:v>
      </x:c>
      <x:c r="B64" s="1" t="str">
        <x:v>Qualified</x:v>
      </x:c>
      <x:c r="C64" s="1" t="n">
        <x:v>353000</x:v>
      </x:c>
      <x:c r="D64" s="8" t="d">
        <x:v>2026-12-29T00:00:00.000Z</x:v>
      </x:c>
      <x:c r="E64" s="12" t="n">
        <x:v>0.1</x:v>
      </x:c>
      <x:c r="F64" s="7" t="n">
        <x:f>C64*MIN(1,E64*$K$6)</x:f>
        <x:v>24709.999999999996</x:v>
      </x:c>
      <x:c r="G64" s="7" t="n">
        <x:f>C64*MIN(1,E64*$K$7)</x:f>
        <x:v>35300</x:v>
      </x:c>
      <x:c r="H64" s="7" t="n">
        <x:f>C64*MIN(1,E64*$K$8)</x:f>
        <x:v>45890</x:v>
      </x:c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2" customHeight="1">
      <x:c r="A65" s="1" t="str">
        <x:v>O0355</x:v>
      </x:c>
      <x:c r="B65" s="1" t="str">
        <x:v>Initial Contact</x:v>
      </x:c>
      <x:c r="C65" s="1" t="n">
        <x:v>336000</x:v>
      </x:c>
      <x:c r="D65" s="8" t="d">
        <x:v>2026-12-23T00:00:00.000Z</x:v>
      </x:c>
      <x:c r="E65" s="12" t="n">
        <x:v>0.18</x:v>
      </x:c>
      <x:c r="F65" s="7" t="n">
        <x:f>C65*MIN(1,E65*$K$6)</x:f>
        <x:v>42336</x:v>
      </x:c>
      <x:c r="G65" s="7" t="n">
        <x:f>C65*MIN(1,E65*$K$7)</x:f>
        <x:v>60480</x:v>
      </x:c>
      <x:c r="H65" s="7" t="n">
        <x:f>C65*MIN(1,E65*$K$8)</x:f>
        <x:v>78624</x:v>
      </x:c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2" customHeight="1">
      <x:c r="A66" s="1" t="str">
        <x:v>O0359</x:v>
      </x:c>
      <x:c r="B66" s="1" t="str">
        <x:v>Prospect Identified</x:v>
      </x:c>
      <x:c r="C66" s="1" t="n">
        <x:v>171000</x:v>
      </x:c>
      <x:c r="D66" s="8" t="d">
        <x:v>2026-10-05T00:00:00.000Z</x:v>
      </x:c>
      <x:c r="E66" s="12" t="n">
        <x:v>0.03</x:v>
      </x:c>
      <x:c r="F66" s="7" t="n">
        <x:f>C66*MIN(1,E66*$K$6)</x:f>
        <x:v>3590.9999999999995</x:v>
      </x:c>
      <x:c r="G66" s="7" t="n">
        <x:f>C66*MIN(1,E66*$K$7)</x:f>
        <x:v>5130</x:v>
      </x:c>
      <x:c r="H66" s="7" t="n">
        <x:f>C66*MIN(1,E66*$K$8)</x:f>
        <x:v>6669</x:v>
      </x:c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2" customHeight="1">
      <x:c r="A67" s="1" t="str">
        <x:v>O0365</x:v>
      </x:c>
      <x:c r="B67" s="1" t="str">
        <x:v>Proposal Sent</x:v>
      </x:c>
      <x:c r="C67" s="1" t="n">
        <x:v>385000</x:v>
      </x:c>
      <x:c r="D67" s="8" t="d">
        <x:v>2026-11-24T00:00:00.000Z</x:v>
      </x:c>
      <x:c r="E67" s="12" t="n">
        <x:v>0.5</x:v>
      </x:c>
      <x:c r="F67" s="7" t="n">
        <x:f>C67*MIN(1,E67*$K$6)</x:f>
        <x:v>134750</x:v>
      </x:c>
      <x:c r="G67" s="7" t="n">
        <x:f>C67*MIN(1,E67*$K$7)</x:f>
        <x:v>192500</x:v>
      </x:c>
      <x:c r="H67" s="7" t="n">
        <x:f>C67*MIN(1,E67*$K$8)</x:f>
        <x:v>250250</x:v>
      </x:c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2" customHeight="1">
      <x:c r="A68" s="1" t="str">
        <x:v>O0370</x:v>
      </x:c>
      <x:c r="B68" s="1" t="str">
        <x:v>Initial Contact</x:v>
      </x:c>
      <x:c r="C68" s="1" t="n">
        <x:v>117000</x:v>
      </x:c>
      <x:c r="D68" s="8" t="d">
        <x:v>2026-12-01T00:00:00.000Z</x:v>
      </x:c>
      <x:c r="E68" s="12" t="n">
        <x:v>0.18</x:v>
      </x:c>
      <x:c r="F68" s="7" t="n">
        <x:f>C68*MIN(1,E68*$K$6)</x:f>
        <x:v>14742</x:v>
      </x:c>
      <x:c r="G68" s="7" t="n">
        <x:f>C68*MIN(1,E68*$K$7)</x:f>
        <x:v>21060</x:v>
      </x:c>
      <x:c r="H68" s="7" t="n">
        <x:f>C68*MIN(1,E68*$K$8)</x:f>
        <x:v>27378</x:v>
      </x:c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2" customHeight="1">
      <x:c r="A69" s="1" t="str">
        <x:v>O0383</x:v>
      </x:c>
      <x:c r="B69" s="1" t="str">
        <x:v>Qualified</x:v>
      </x:c>
      <x:c r="C69" s="1" t="n">
        <x:v>158000</x:v>
      </x:c>
      <x:c r="D69" s="8" t="d">
        <x:v>2026-12-10T00:00:00.000Z</x:v>
      </x:c>
      <x:c r="E69" s="12" t="n">
        <x:v>0.1</x:v>
      </x:c>
      <x:c r="F69" s="7" t="n">
        <x:f>C69*MIN(1,E69*$K$6)</x:f>
        <x:v>11059.999999999998</x:v>
      </x:c>
      <x:c r="G69" s="7" t="n">
        <x:f>C69*MIN(1,E69*$K$7)</x:f>
        <x:v>15800</x:v>
      </x:c>
      <x:c r="H69" s="7" t="n">
        <x:f>C69*MIN(1,E69*$K$8)</x:f>
        <x:v>20540</x:v>
      </x:c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2" customHeight="1">
      <x:c r="A70" s="1" t="str">
        <x:v>O0386</x:v>
      </x:c>
      <x:c r="B70" s="1" t="str">
        <x:v>Prospect Identified</x:v>
      </x:c>
      <x:c r="C70" s="1" t="n">
        <x:v>275000</x:v>
      </x:c>
      <x:c r="D70" s="8" t="d">
        <x:v>2026-12-24T00:00:00.000Z</x:v>
      </x:c>
      <x:c r="E70" s="12" t="n">
        <x:v>0.03</x:v>
      </x:c>
      <x:c r="F70" s="7" t="n">
        <x:f>C70*MIN(1,E70*$K$6)</x:f>
        <x:v>5774.999999999999</x:v>
      </x:c>
      <x:c r="G70" s="7" t="n">
        <x:f>C70*MIN(1,E70*$K$7)</x:f>
        <x:v>8250</x:v>
      </x:c>
      <x:c r="H70" s="7" t="n">
        <x:f>C70*MIN(1,E70*$K$8)</x:f>
        <x:v>10725</x:v>
      </x:c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2" customHeight="1">
      <x:c r="A71" s="1" t="str">
        <x:v>O0387</x:v>
      </x:c>
      <x:c r="B71" s="1" t="str">
        <x:v>Meeting Scheduled</x:v>
      </x:c>
      <x:c r="C71" s="1" t="n">
        <x:v>138000</x:v>
      </x:c>
      <x:c r="D71" s="8" t="d">
        <x:v>2026-10-07T00:00:00.000Z</x:v>
      </x:c>
      <x:c r="E71" s="12" t="n">
        <x:v>0.3</x:v>
      </x:c>
      <x:c r="F71" s="7" t="n">
        <x:f>C71*MIN(1,E71*$K$6)</x:f>
        <x:v>28980</x:v>
      </x:c>
      <x:c r="G71" s="7" t="n">
        <x:f>C71*MIN(1,E71*$K$7)</x:f>
        <x:v>41400</x:v>
      </x:c>
      <x:c r="H71" s="7" t="n">
        <x:f>C71*MIN(1,E71*$K$8)</x:f>
        <x:v>53820</x:v>
      </x:c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2" customHeight="1">
      <x:c r="A72" s="1" t="str">
        <x:v>O0393</x:v>
      </x:c>
      <x:c r="B72" s="1" t="str">
        <x:v>Proposal Sent</x:v>
      </x:c>
      <x:c r="C72" s="1" t="n">
        <x:v>127000</x:v>
      </x:c>
      <x:c r="D72" s="8" t="d">
        <x:v>2026-11-11T00:00:00.000Z</x:v>
      </x:c>
      <x:c r="E72" s="12" t="n">
        <x:v>0.5</x:v>
      </x:c>
      <x:c r="F72" s="7" t="n">
        <x:f>C72*MIN(1,E72*$K$6)</x:f>
        <x:v>44450</x:v>
      </x:c>
      <x:c r="G72" s="7" t="n">
        <x:f>C72*MIN(1,E72*$K$7)</x:f>
        <x:v>63500</x:v>
      </x:c>
      <x:c r="H72" s="7" t="n">
        <x:f>C72*MIN(1,E72*$K$8)</x:f>
        <x:v>82550</x:v>
      </x:c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2" customHeight="1">
      <x:c r="A73" s="1" t="str">
        <x:v>O0402</x:v>
      </x:c>
      <x:c r="B73" s="1" t="str">
        <x:v>Meeting Scheduled</x:v>
      </x:c>
      <x:c r="C73" s="1" t="n">
        <x:v>157000</x:v>
      </x:c>
      <x:c r="D73" s="8" t="d">
        <x:v>2026-11-09T00:00:00.000Z</x:v>
      </x:c>
      <x:c r="E73" s="12" t="n">
        <x:v>0.3</x:v>
      </x:c>
      <x:c r="F73" s="7" t="n">
        <x:f>C73*MIN(1,E73*$K$6)</x:f>
        <x:v>32970</x:v>
      </x:c>
      <x:c r="G73" s="7" t="n">
        <x:f>C73*MIN(1,E73*$K$7)</x:f>
        <x:v>47100</x:v>
      </x:c>
      <x:c r="H73" s="7" t="n">
        <x:f>C73*MIN(1,E73*$K$8)</x:f>
        <x:v>61230</x:v>
      </x:c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2" customHeight="1">
      <x:c r="A74" s="1" t="str">
        <x:v>O0412</x:v>
      </x:c>
      <x:c r="B74" s="1" t="str">
        <x:v>Negotiation</x:v>
      </x:c>
      <x:c r="C74" s="1" t="n">
        <x:v>162000</x:v>
      </x:c>
      <x:c r="D74" s="8" t="d">
        <x:v>2026-11-27T00:00:00.000Z</x:v>
      </x:c>
      <x:c r="E74" s="12" t="n">
        <x:v>0.7</x:v>
      </x:c>
      <x:c r="F74" s="7" t="n">
        <x:f>C74*MIN(1,E74*$K$6)</x:f>
        <x:v>79379.99999999999</x:v>
      </x:c>
      <x:c r="G74" s="7" t="n">
        <x:f>C74*MIN(1,E74*$K$7)</x:f>
        <x:v>113400</x:v>
      </x:c>
      <x:c r="H74" s="7" t="n">
        <x:f>C74*MIN(1,E74*$K$8)</x:f>
        <x:v>147420</x:v>
      </x:c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2" customHeight="1">
      <x:c r="A75" s="1" t="str">
        <x:v>O0416</x:v>
      </x:c>
      <x:c r="B75" s="1" t="str">
        <x:v>Qualified</x:v>
      </x:c>
      <x:c r="C75" s="1" t="n">
        <x:v>410000</x:v>
      </x:c>
      <x:c r="D75" s="8" t="d">
        <x:v>2026-12-29T00:00:00.000Z</x:v>
      </x:c>
      <x:c r="E75" s="12" t="n">
        <x:v>0.1</x:v>
      </x:c>
      <x:c r="F75" s="7" t="n">
        <x:f>C75*MIN(1,E75*$K$6)</x:f>
        <x:v>28699.999999999996</x:v>
      </x:c>
      <x:c r="G75" s="7" t="n">
        <x:f>C75*MIN(1,E75*$K$7)</x:f>
        <x:v>41000</x:v>
      </x:c>
      <x:c r="H75" s="7" t="n">
        <x:f>C75*MIN(1,E75*$K$8)</x:f>
        <x:v>53300</x:v>
      </x:c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2" customHeight="1">
      <x:c r="A76" s="1" t="str">
        <x:v>O0420</x:v>
      </x:c>
      <x:c r="B76" s="1" t="str">
        <x:v>Initial Contact</x:v>
      </x:c>
      <x:c r="C76" s="1" t="n">
        <x:v>233000</x:v>
      </x:c>
      <x:c r="D76" s="8" t="d">
        <x:v>2026-12-02T00:00:00.000Z</x:v>
      </x:c>
      <x:c r="E76" s="12" t="n">
        <x:v>0.18</x:v>
      </x:c>
      <x:c r="F76" s="7" t="n">
        <x:f>C76*MIN(1,E76*$K$6)</x:f>
        <x:v>29358</x:v>
      </x:c>
      <x:c r="G76" s="7" t="n">
        <x:f>C76*MIN(1,E76*$K$7)</x:f>
        <x:v>41940</x:v>
      </x:c>
      <x:c r="H76" s="7" t="n">
        <x:f>C76*MIN(1,E76*$K$8)</x:f>
        <x:v>54522</x:v>
      </x:c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2" customHeight="1">
      <x:c r="A77" s="1" t="str">
        <x:v>O0430</x:v>
      </x:c>
      <x:c r="B77" s="1" t="str">
        <x:v>Prospect Identified</x:v>
      </x:c>
      <x:c r="C77" s="1" t="n">
        <x:v>335000</x:v>
      </x:c>
      <x:c r="D77" s="8" t="d">
        <x:v>2026-11-25T00:00:00.000Z</x:v>
      </x:c>
      <x:c r="E77" s="12" t="n">
        <x:v>0.03</x:v>
      </x:c>
      <x:c r="F77" s="7" t="n">
        <x:f>C77*MIN(1,E77*$K$6)</x:f>
        <x:v>7034.999999999999</x:v>
      </x:c>
      <x:c r="G77" s="7" t="n">
        <x:f>C77*MIN(1,E77*$K$7)</x:f>
        <x:v>10050</x:v>
      </x:c>
      <x:c r="H77" s="7" t="n">
        <x:f>C77*MIN(1,E77*$K$8)</x:f>
        <x:v>13065</x:v>
      </x:c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2" customHeight="1">
      <x:c r="A78" s="1" t="str">
        <x:v>O0433</x:v>
      </x:c>
      <x:c r="B78" s="1" t="str">
        <x:v>Qualified</x:v>
      </x:c>
      <x:c r="C78" s="1" t="n">
        <x:v>191000</x:v>
      </x:c>
      <x:c r="D78" s="8" t="d">
        <x:v>2026-12-06T00:00:00.000Z</x:v>
      </x:c>
      <x:c r="E78" s="12" t="n">
        <x:v>0.1</x:v>
      </x:c>
      <x:c r="F78" s="7" t="n">
        <x:f>C78*MIN(1,E78*$K$6)</x:f>
        <x:v>13369.999999999998</x:v>
      </x:c>
      <x:c r="G78" s="7" t="n">
        <x:f>C78*MIN(1,E78*$K$7)</x:f>
        <x:v>19100</x:v>
      </x:c>
      <x:c r="H78" s="7" t="n">
        <x:f>C78*MIN(1,E78*$K$8)</x:f>
        <x:v>24830</x:v>
      </x:c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2" customHeight="1">
      <x:c r="A79" s="1" t="str">
        <x:v>O0436</x:v>
      </x:c>
      <x:c r="B79" s="1" t="str">
        <x:v>Qualified</x:v>
      </x:c>
      <x:c r="C79" s="1" t="n">
        <x:v>255000</x:v>
      </x:c>
      <x:c r="D79" s="8" t="d">
        <x:v>2026-10-08T00:00:00.000Z</x:v>
      </x:c>
      <x:c r="E79" s="12" t="n">
        <x:v>0.1</x:v>
      </x:c>
      <x:c r="F79" s="7" t="n">
        <x:f>C79*MIN(1,E79*$K$6)</x:f>
        <x:v>17849.999999999996</x:v>
      </x:c>
      <x:c r="G79" s="7" t="n">
        <x:f>C79*MIN(1,E79*$K$7)</x:f>
        <x:v>25500</x:v>
      </x:c>
      <x:c r="H79" s="7" t="n">
        <x:f>C79*MIN(1,E79*$K$8)</x:f>
        <x:v>33150</x:v>
      </x:c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2" customHeight="1">
      <x:c r="A80" s="1" t="str">
        <x:v>O0439</x:v>
      </x:c>
      <x:c r="B80" s="1" t="str">
        <x:v>Initial Contact</x:v>
      </x:c>
      <x:c r="C80" s="1" t="n">
        <x:v>280000</x:v>
      </x:c>
      <x:c r="D80" s="8" t="d">
        <x:v>2026-10-02T00:00:00.000Z</x:v>
      </x:c>
      <x:c r="E80" s="12" t="n">
        <x:v>0.18</x:v>
      </x:c>
      <x:c r="F80" s="7" t="n">
        <x:f>C80*MIN(1,E80*$K$6)</x:f>
        <x:v>35280</x:v>
      </x:c>
      <x:c r="G80" s="7" t="n">
        <x:f>C80*MIN(1,E80*$K$7)</x:f>
        <x:v>50400</x:v>
      </x:c>
      <x:c r="H80" s="7" t="n">
        <x:f>C80*MIN(1,E80*$K$8)</x:f>
        <x:v>65519.99999999999</x:v>
      </x:c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2" customHeight="1">
      <x:c r="A81" s="1" t="str">
        <x:v>O0442</x:v>
      </x:c>
      <x:c r="B81" s="1" t="str">
        <x:v>Prospect Identified</x:v>
      </x:c>
      <x:c r="C81" s="1" t="n">
        <x:v>97000</x:v>
      </x:c>
      <x:c r="D81" s="8" t="d">
        <x:v>2026-10-06T00:00:00.000Z</x:v>
      </x:c>
      <x:c r="E81" s="12" t="n">
        <x:v>0.03</x:v>
      </x:c>
      <x:c r="F81" s="7" t="n">
        <x:f>C81*MIN(1,E81*$K$6)</x:f>
        <x:v>2036.9999999999998</x:v>
      </x:c>
      <x:c r="G81" s="7" t="n">
        <x:f>C81*MIN(1,E81*$K$7)</x:f>
        <x:v>2910</x:v>
      </x:c>
      <x:c r="H81" s="7" t="n">
        <x:f>C81*MIN(1,E81*$K$8)</x:f>
        <x:v>3783</x:v>
      </x:c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2" customHeight="1">
      <x:c r="A82" s="1" t="str">
        <x:v>O0444</x:v>
      </x:c>
      <x:c r="B82" s="1" t="str">
        <x:v>Prospect Identified</x:v>
      </x:c>
      <x:c r="C82" s="1" t="n">
        <x:v>182000</x:v>
      </x:c>
      <x:c r="D82" s="8" t="d">
        <x:v>2026-11-20T00:00:00.000Z</x:v>
      </x:c>
      <x:c r="E82" s="12" t="n">
        <x:v>0.03</x:v>
      </x:c>
      <x:c r="F82" s="7" t="n">
        <x:f>C82*MIN(1,E82*$K$6)</x:f>
        <x:v>3821.9999999999995</x:v>
      </x:c>
      <x:c r="G82" s="7" t="n">
        <x:f>C82*MIN(1,E82*$K$7)</x:f>
        <x:v>5460</x:v>
      </x:c>
      <x:c r="H82" s="7" t="n">
        <x:f>C82*MIN(1,E82*$K$8)</x:f>
        <x:v>7098</x:v>
      </x:c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2" customHeight="1">
      <x:c r="A83" s="1" t="str">
        <x:v>O0449</x:v>
      </x:c>
      <x:c r="B83" s="1" t="str">
        <x:v>Prospect Identified</x:v>
      </x:c>
      <x:c r="C83" s="1" t="n">
        <x:v>208000</x:v>
      </x:c>
      <x:c r="D83" s="8" t="d">
        <x:v>2026-11-13T00:00:00.000Z</x:v>
      </x:c>
      <x:c r="E83" s="12" t="n">
        <x:v>0.03</x:v>
      </x:c>
      <x:c r="F83" s="7" t="n">
        <x:f>C83*MIN(1,E83*$K$6)</x:f>
        <x:v>4368</x:v>
      </x:c>
      <x:c r="G83" s="7" t="n">
        <x:f>C83*MIN(1,E83*$K$7)</x:f>
        <x:v>6240</x:v>
      </x:c>
      <x:c r="H83" s="7" t="n">
        <x:f>C83*MIN(1,E83*$K$8)</x:f>
        <x:v>8112</x:v>
      </x:c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2" customHeight="1">
      <x:c r="A84" s="1" t="str">
        <x:v>O0451</x:v>
      </x:c>
      <x:c r="B84" s="1" t="str">
        <x:v>Proposal Sent</x:v>
      </x:c>
      <x:c r="C84" s="1" t="n">
        <x:v>145000</x:v>
      </x:c>
      <x:c r="D84" s="8" t="d">
        <x:v>2026-11-27T00:00:00.000Z</x:v>
      </x:c>
      <x:c r="E84" s="12" t="n">
        <x:v>0.5</x:v>
      </x:c>
      <x:c r="F84" s="7" t="n">
        <x:f>C84*MIN(1,E84*$K$6)</x:f>
        <x:v>50750</x:v>
      </x:c>
      <x:c r="G84" s="7" t="n">
        <x:f>C84*MIN(1,E84*$K$7)</x:f>
        <x:v>72500</x:v>
      </x:c>
      <x:c r="H84" s="7" t="n">
        <x:f>C84*MIN(1,E84*$K$8)</x:f>
        <x:v>94250</x:v>
      </x:c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2" customHeight="1">
      <x:c r="A85" s="1" t="str">
        <x:v>O0453</x:v>
      </x:c>
      <x:c r="B85" s="1" t="str">
        <x:v>Qualified</x:v>
      </x:c>
      <x:c r="C85" s="1" t="n">
        <x:v>336000</x:v>
      </x:c>
      <x:c r="D85" s="8" t="d">
        <x:v>2026-12-17T00:00:00.000Z</x:v>
      </x:c>
      <x:c r="E85" s="12" t="n">
        <x:v>0.1</x:v>
      </x:c>
      <x:c r="F85" s="7" t="n">
        <x:f>C85*MIN(1,E85*$K$6)</x:f>
        <x:v>23519.999999999996</x:v>
      </x:c>
      <x:c r="G85" s="7" t="n">
        <x:f>C85*MIN(1,E85*$K$7)</x:f>
        <x:v>33600</x:v>
      </x:c>
      <x:c r="H85" s="7" t="n">
        <x:f>C85*MIN(1,E85*$K$8)</x:f>
        <x:v>43680</x:v>
      </x:c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2" customHeight="1">
      <x:c r="A86" s="1" t="str">
        <x:v>O0461</x:v>
      </x:c>
      <x:c r="B86" s="1" t="str">
        <x:v>Initial Contact</x:v>
      </x:c>
      <x:c r="C86" s="1" t="n">
        <x:v>375000</x:v>
      </x:c>
      <x:c r="D86" s="8" t="d">
        <x:v>2026-11-15T00:00:00.000Z</x:v>
      </x:c>
      <x:c r="E86" s="12" t="n">
        <x:v>0.18</x:v>
      </x:c>
      <x:c r="F86" s="7" t="n">
        <x:f>C86*MIN(1,E86*$K$6)</x:f>
        <x:v>47250</x:v>
      </x:c>
      <x:c r="G86" s="7" t="n">
        <x:f>C86*MIN(1,E86*$K$7)</x:f>
        <x:v>67500</x:v>
      </x:c>
      <x:c r="H86" s="7" t="n">
        <x:f>C86*MIN(1,E86*$K$8)</x:f>
        <x:v>87750</x:v>
      </x:c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2" customHeight="1">
      <x:c r="A87" s="1" t="str">
        <x:v>O0462</x:v>
      </x:c>
      <x:c r="B87" s="1" t="str">
        <x:v>Initial Contact</x:v>
      </x:c>
      <x:c r="C87" s="1" t="n">
        <x:v>175000</x:v>
      </x:c>
      <x:c r="D87" s="8" t="d">
        <x:v>2026-12-08T00:00:00.000Z</x:v>
      </x:c>
      <x:c r="E87" s="12" t="n">
        <x:v>0.18</x:v>
      </x:c>
      <x:c r="F87" s="7" t="n">
        <x:f>C87*MIN(1,E87*$K$6)</x:f>
        <x:v>22050</x:v>
      </x:c>
      <x:c r="G87" s="7" t="n">
        <x:f>C87*MIN(1,E87*$K$7)</x:f>
        <x:v>31500</x:v>
      </x:c>
      <x:c r="H87" s="7" t="n">
        <x:f>C87*MIN(1,E87*$K$8)</x:f>
        <x:v>40950</x:v>
      </x:c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2" customHeight="1">
      <x:c r="A88" s="1" t="str">
        <x:v>O0469</x:v>
      </x:c>
      <x:c r="B88" s="1" t="str">
        <x:v>Prospect Identified</x:v>
      </x:c>
      <x:c r="C88" s="1" t="n">
        <x:v>216000</x:v>
      </x:c>
      <x:c r="D88" s="8" t="d">
        <x:v>2026-12-08T00:00:00.000Z</x:v>
      </x:c>
      <x:c r="E88" s="12" t="n">
        <x:v>0.03</x:v>
      </x:c>
      <x:c r="F88" s="7" t="n">
        <x:f>C88*MIN(1,E88*$K$6)</x:f>
        <x:v>4535.999999999999</x:v>
      </x:c>
      <x:c r="G88" s="7" t="n">
        <x:f>C88*MIN(1,E88*$K$7)</x:f>
        <x:v>6480</x:v>
      </x:c>
      <x:c r="H88" s="7" t="n">
        <x:f>C88*MIN(1,E88*$K$8)</x:f>
        <x:v>8424</x:v>
      </x:c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2" customHeight="1">
      <x:c r="A89" s="1" t="str">
        <x:v>O0470</x:v>
      </x:c>
      <x:c r="B89" s="1" t="str">
        <x:v>Qualified</x:v>
      </x:c>
      <x:c r="C89" s="1" t="n">
        <x:v>202000</x:v>
      </x:c>
      <x:c r="D89" s="8" t="d">
        <x:v>2026-11-08T00:00:00.000Z</x:v>
      </x:c>
      <x:c r="E89" s="12" t="n">
        <x:v>0.1</x:v>
      </x:c>
      <x:c r="F89" s="7" t="n">
        <x:f>C89*MIN(1,E89*$K$6)</x:f>
        <x:v>14139.999999999998</x:v>
      </x:c>
      <x:c r="G89" s="7" t="n">
        <x:f>C89*MIN(1,E89*$K$7)</x:f>
        <x:v>20200</x:v>
      </x:c>
      <x:c r="H89" s="7" t="n">
        <x:f>C89*MIN(1,E89*$K$8)</x:f>
        <x:v>26260</x:v>
      </x:c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2" customHeight="1">
      <x:c r="A90" s="1" t="str">
        <x:v>O0485</x:v>
      </x:c>
      <x:c r="B90" s="1" t="str">
        <x:v>Qualified</x:v>
      </x:c>
      <x:c r="C90" s="1" t="n">
        <x:v>353000</x:v>
      </x:c>
      <x:c r="D90" s="8" t="d">
        <x:v>2026-11-09T00:00:00.000Z</x:v>
      </x:c>
      <x:c r="E90" s="12" t="n">
        <x:v>0.1</x:v>
      </x:c>
      <x:c r="F90" s="7" t="n">
        <x:f>C90*MIN(1,E90*$K$6)</x:f>
        <x:v>24709.999999999996</x:v>
      </x:c>
      <x:c r="G90" s="7" t="n">
        <x:f>C90*MIN(1,E90*$K$7)</x:f>
        <x:v>35300</x:v>
      </x:c>
      <x:c r="H90" s="7" t="n">
        <x:f>C90*MIN(1,E90*$K$8)</x:f>
        <x:v>45890</x:v>
      </x:c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2" customHeight="1">
      <x:c r="A91" s="1" t="str">
        <x:v>O0500</x:v>
      </x:c>
      <x:c r="B91" s="1" t="str">
        <x:v>Qualified</x:v>
      </x:c>
      <x:c r="C91" s="1" t="n">
        <x:v>102000</x:v>
      </x:c>
      <x:c r="D91" s="8" t="d">
        <x:v>2026-10-06T00:00:00.000Z</x:v>
      </x:c>
      <x:c r="E91" s="12" t="n">
        <x:v>0.1</x:v>
      </x:c>
      <x:c r="F91" s="7" t="n">
        <x:f>C91*MIN(1,E91*$K$6)</x:f>
        <x:v>7139.999999999999</x:v>
      </x:c>
      <x:c r="G91" s="7" t="n">
        <x:f>C91*MIN(1,E91*$K$7)</x:f>
        <x:v>10200</x:v>
      </x:c>
      <x:c r="H91" s="7" t="n">
        <x:f>C91*MIN(1,E91*$K$8)</x:f>
        <x:v>13260</x:v>
      </x:c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2" customHeight="1">
      <x:c r="A92" s="1" t="str">
        <x:v>O0501</x:v>
      </x:c>
      <x:c r="B92" s="1" t="str">
        <x:v>Prospect Identified</x:v>
      </x:c>
      <x:c r="C92" s="1" t="n">
        <x:v>156000</x:v>
      </x:c>
      <x:c r="D92" s="8" t="d">
        <x:v>2026-12-11T00:00:00.000Z</x:v>
      </x:c>
      <x:c r="E92" s="12" t="n">
        <x:v>0.03</x:v>
      </x:c>
      <x:c r="F92" s="7" t="n">
        <x:f>C92*MIN(1,E92*$K$6)</x:f>
        <x:v>3275.9999999999995</x:v>
      </x:c>
      <x:c r="G92" s="7" t="n">
        <x:f>C92*MIN(1,E92*$K$7)</x:f>
        <x:v>4680</x:v>
      </x:c>
      <x:c r="H92" s="7" t="n">
        <x:f>C92*MIN(1,E92*$K$8)</x:f>
        <x:v>6084</x:v>
      </x:c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2" customHeight="1">
      <x:c r="A93" s="1" t="str">
        <x:v>O0503</x:v>
      </x:c>
      <x:c r="B93" s="1" t="str">
        <x:v>Qualified</x:v>
      </x:c>
      <x:c r="C93" s="1" t="n">
        <x:v>157000</x:v>
      </x:c>
      <x:c r="D93" s="8" t="d">
        <x:v>2026-12-01T00:00:00.000Z</x:v>
      </x:c>
      <x:c r="E93" s="12" t="n">
        <x:v>0.1</x:v>
      </x:c>
      <x:c r="F93" s="7" t="n">
        <x:f>C93*MIN(1,E93*$K$6)</x:f>
        <x:v>10989.999999999998</x:v>
      </x:c>
      <x:c r="G93" s="7" t="n">
        <x:f>C93*MIN(1,E93*$K$7)</x:f>
        <x:v>15700</x:v>
      </x:c>
      <x:c r="H93" s="7" t="n">
        <x:f>C93*MIN(1,E93*$K$8)</x:f>
        <x:v>20410</x:v>
      </x:c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2" customHeight="1">
      <x:c r="A94" s="1" t="str">
        <x:v>O0505</x:v>
      </x:c>
      <x:c r="B94" s="1" t="str">
        <x:v>Qualified</x:v>
      </x:c>
      <x:c r="C94" s="1" t="n">
        <x:v>641000</x:v>
      </x:c>
      <x:c r="D94" s="8" t="d">
        <x:v>2026-12-26T00:00:00.000Z</x:v>
      </x:c>
      <x:c r="E94" s="12" t="n">
        <x:v>0.1</x:v>
      </x:c>
      <x:c r="F94" s="7" t="n">
        <x:f>C94*MIN(1,E94*$K$6)</x:f>
        <x:v>44869.99999999999</x:v>
      </x:c>
      <x:c r="G94" s="7" t="n">
        <x:f>C94*MIN(1,E94*$K$7)</x:f>
        <x:v>64100</x:v>
      </x:c>
      <x:c r="H94" s="7" t="n">
        <x:f>C94*MIN(1,E94*$K$8)</x:f>
        <x:v>83330</x:v>
      </x:c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2" customHeight="1">
      <x:c r="A95" s="1" t="str">
        <x:v>O0508</x:v>
      </x:c>
      <x:c r="B95" s="1" t="str">
        <x:v>Meeting Scheduled</x:v>
      </x:c>
      <x:c r="C95" s="1" t="n">
        <x:v>103000</x:v>
      </x:c>
      <x:c r="D95" s="8" t="d">
        <x:v>2026-10-08T00:00:00.000Z</x:v>
      </x:c>
      <x:c r="E95" s="12" t="n">
        <x:v>0.3</x:v>
      </x:c>
      <x:c r="F95" s="7" t="n">
        <x:f>C95*MIN(1,E95*$K$6)</x:f>
        <x:v>21630</x:v>
      </x:c>
      <x:c r="G95" s="7" t="n">
        <x:f>C95*MIN(1,E95*$K$7)</x:f>
        <x:v>30900</x:v>
      </x:c>
      <x:c r="H95" s="7" t="n">
        <x:f>C95*MIN(1,E95*$K$8)</x:f>
        <x:v>40170</x:v>
      </x:c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2" customHeight="1">
      <x:c r="A96" s="1" t="str">
        <x:v>O0516</x:v>
      </x:c>
      <x:c r="B96" s="1" t="str">
        <x:v>Meeting Scheduled</x:v>
      </x:c>
      <x:c r="C96" s="1" t="n">
        <x:v>280000</x:v>
      </x:c>
      <x:c r="D96" s="8" t="d">
        <x:v>2026-12-02T00:00:00.000Z</x:v>
      </x:c>
      <x:c r="E96" s="12" t="n">
        <x:v>0.3</x:v>
      </x:c>
      <x:c r="F96" s="7" t="n">
        <x:f>C96*MIN(1,E96*$K$6)</x:f>
        <x:v>58800</x:v>
      </x:c>
      <x:c r="G96" s="7" t="n">
        <x:f>C96*MIN(1,E96*$K$7)</x:f>
        <x:v>84000</x:v>
      </x:c>
      <x:c r="H96" s="7" t="n">
        <x:f>C96*MIN(1,E96*$K$8)</x:f>
        <x:v>109200</x:v>
      </x:c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2" customHeight="1">
      <x:c r="A97" s="1" t="str">
        <x:v>O0519</x:v>
      </x:c>
      <x:c r="B97" s="1" t="str">
        <x:v>Proposal Sent</x:v>
      </x:c>
      <x:c r="C97" s="1" t="n">
        <x:v>282000</x:v>
      </x:c>
      <x:c r="D97" s="8" t="d">
        <x:v>2026-11-11T00:00:00.000Z</x:v>
      </x:c>
      <x:c r="E97" s="12" t="n">
        <x:v>0.5</x:v>
      </x:c>
      <x:c r="F97" s="7" t="n">
        <x:f>C97*MIN(1,E97*$K$6)</x:f>
        <x:v>98700</x:v>
      </x:c>
      <x:c r="G97" s="7" t="n">
        <x:f>C97*MIN(1,E97*$K$7)</x:f>
        <x:v>141000</x:v>
      </x:c>
      <x:c r="H97" s="7" t="n">
        <x:f>C97*MIN(1,E97*$K$8)</x:f>
        <x:v>183300</x:v>
      </x:c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2" customHeight="1">
      <x:c r="A98" s="1" t="str">
        <x:v>O0523</x:v>
      </x:c>
      <x:c r="B98" s="1" t="str">
        <x:v>Meeting Scheduled</x:v>
      </x:c>
      <x:c r="C98" s="1" t="n">
        <x:v>134000</x:v>
      </x:c>
      <x:c r="D98" s="8" t="d">
        <x:v>2026-11-05T00:00:00.000Z</x:v>
      </x:c>
      <x:c r="E98" s="12" t="n">
        <x:v>0.3</x:v>
      </x:c>
      <x:c r="F98" s="7" t="n">
        <x:f>C98*MIN(1,E98*$K$6)</x:f>
        <x:v>28140</x:v>
      </x:c>
      <x:c r="G98" s="7" t="n">
        <x:f>C98*MIN(1,E98*$K$7)</x:f>
        <x:v>40200</x:v>
      </x:c>
      <x:c r="H98" s="7" t="n">
        <x:f>C98*MIN(1,E98*$K$8)</x:f>
        <x:v>52260</x:v>
      </x:c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2" customHeight="1">
      <x:c r="A99" s="1" t="str">
        <x:v>O0524</x:v>
      </x:c>
      <x:c r="B99" s="1" t="str">
        <x:v>Prospect Identified</x:v>
      </x:c>
      <x:c r="C99" s="1" t="n">
        <x:v>635000</x:v>
      </x:c>
      <x:c r="D99" s="8" t="d">
        <x:v>2026-11-03T00:00:00.000Z</x:v>
      </x:c>
      <x:c r="E99" s="12" t="n">
        <x:v>0.03</x:v>
      </x:c>
      <x:c r="F99" s="7" t="n">
        <x:f>C99*MIN(1,E99*$K$6)</x:f>
        <x:v>13334.999999999998</x:v>
      </x:c>
      <x:c r="G99" s="7" t="n">
        <x:f>C99*MIN(1,E99*$K$7)</x:f>
        <x:v>19050</x:v>
      </x:c>
      <x:c r="H99" s="7" t="n">
        <x:f>C99*MIN(1,E99*$K$8)</x:f>
        <x:v>24765</x:v>
      </x:c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2" customHeight="1">
      <x:c r="A100" s="1" t="str">
        <x:v>O0539</x:v>
      </x:c>
      <x:c r="B100" s="1" t="str">
        <x:v>Initial Contact</x:v>
      </x:c>
      <x:c r="C100" s="1" t="n">
        <x:v>197000</x:v>
      </x:c>
      <x:c r="D100" s="8" t="d">
        <x:v>2026-10-11T00:00:00.000Z</x:v>
      </x:c>
      <x:c r="E100" s="12" t="n">
        <x:v>0.18</x:v>
      </x:c>
      <x:c r="F100" s="7" t="n">
        <x:f>C100*MIN(1,E100*$K$6)</x:f>
        <x:v>24822</x:v>
      </x:c>
      <x:c r="G100" s="7" t="n">
        <x:f>C100*MIN(1,E100*$K$7)</x:f>
        <x:v>35460</x:v>
      </x:c>
      <x:c r="H100" s="7" t="n">
        <x:f>C100*MIN(1,E100*$K$8)</x:f>
        <x:v>46098</x:v>
      </x:c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2" customHeight="1">
      <x:c r="A101" s="1" t="str">
        <x:v>O0543</x:v>
      </x:c>
      <x:c r="B101" s="1" t="str">
        <x:v>Prospect Identified</x:v>
      </x:c>
      <x:c r="C101" s="1" t="n">
        <x:v>421000</x:v>
      </x:c>
      <x:c r="D101" s="8" t="d">
        <x:v>2026-12-16T00:00:00.000Z</x:v>
      </x:c>
      <x:c r="E101" s="12" t="n">
        <x:v>0.03</x:v>
      </x:c>
      <x:c r="F101" s="7" t="n">
        <x:f>C101*MIN(1,E101*$K$6)</x:f>
        <x:v>8840.999999999998</x:v>
      </x:c>
      <x:c r="G101" s="7" t="n">
        <x:f>C101*MIN(1,E101*$K$7)</x:f>
        <x:v>12630</x:v>
      </x:c>
      <x:c r="H101" s="7" t="n">
        <x:f>C101*MIN(1,E101*$K$8)</x:f>
        <x:v>16419</x:v>
      </x:c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2" customHeight="1">
      <x:c r="A102" s="1" t="str">
        <x:v>O0555</x:v>
      </x:c>
      <x:c r="B102" s="1" t="str">
        <x:v>Prospect Identified</x:v>
      </x:c>
      <x:c r="C102" s="1" t="n">
        <x:v>398000</x:v>
      </x:c>
      <x:c r="D102" s="8" t="d">
        <x:v>2026-12-23T00:00:00.000Z</x:v>
      </x:c>
      <x:c r="E102" s="12" t="n">
        <x:v>0.03</x:v>
      </x:c>
      <x:c r="F102" s="7" t="n">
        <x:f>C102*MIN(1,E102*$K$6)</x:f>
        <x:v>8358</x:v>
      </x:c>
      <x:c r="G102" s="7" t="n">
        <x:f>C102*MIN(1,E102*$K$7)</x:f>
        <x:v>11940</x:v>
      </x:c>
      <x:c r="H102" s="7" t="n">
        <x:f>C102*MIN(1,E102*$K$8)</x:f>
        <x:v>15522</x:v>
      </x:c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2" customHeight="1">
      <x:c r="A103" s="1" t="str">
        <x:v>O0560</x:v>
      </x:c>
      <x:c r="B103" s="1" t="str">
        <x:v>Qualified</x:v>
      </x:c>
      <x:c r="C103" s="1" t="n">
        <x:v>277000</x:v>
      </x:c>
      <x:c r="D103" s="8" t="d">
        <x:v>2026-11-24T00:00:00.000Z</x:v>
      </x:c>
      <x:c r="E103" s="12" t="n">
        <x:v>0.1</x:v>
      </x:c>
      <x:c r="F103" s="7" t="n">
        <x:f>C103*MIN(1,E103*$K$6)</x:f>
        <x:v>19389.999999999996</x:v>
      </x:c>
      <x:c r="G103" s="7" t="n">
        <x:f>C103*MIN(1,E103*$K$7)</x:f>
        <x:v>27700</x:v>
      </x:c>
      <x:c r="H103" s="7" t="n">
        <x:f>C103*MIN(1,E103*$K$8)</x:f>
        <x:v>36010</x:v>
      </x:c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2" customHeight="1">
      <x:c r="A104" s="1" t="str">
        <x:v>O0561</x:v>
      </x:c>
      <x:c r="B104" s="1" t="str">
        <x:v>Qualified</x:v>
      </x:c>
      <x:c r="C104" s="1" t="n">
        <x:v>312000</x:v>
      </x:c>
      <x:c r="D104" s="8" t="d">
        <x:v>2026-12-23T00:00:00.000Z</x:v>
      </x:c>
      <x:c r="E104" s="12" t="n">
        <x:v>0.1</x:v>
      </x:c>
      <x:c r="F104" s="7" t="n">
        <x:f>C104*MIN(1,E104*$K$6)</x:f>
        <x:v>21839.999999999996</x:v>
      </x:c>
      <x:c r="G104" s="7" t="n">
        <x:f>C104*MIN(1,E104*$K$7)</x:f>
        <x:v>31200</x:v>
      </x:c>
      <x:c r="H104" s="7" t="n">
        <x:f>C104*MIN(1,E104*$K$8)</x:f>
        <x:v>40560</x:v>
      </x:c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2" customHeight="1">
      <x:c r="A105" s="1" t="str">
        <x:v>O0566</x:v>
      </x:c>
      <x:c r="B105" s="1" t="str">
        <x:v>Initial Contact</x:v>
      </x:c>
      <x:c r="C105" s="1" t="n">
        <x:v>216000</x:v>
      </x:c>
      <x:c r="D105" s="8" t="d">
        <x:v>2026-12-07T00:00:00.000Z</x:v>
      </x:c>
      <x:c r="E105" s="12" t="n">
        <x:v>0.18</x:v>
      </x:c>
      <x:c r="F105" s="7" t="n">
        <x:f>C105*MIN(1,E105*$K$6)</x:f>
        <x:v>27216</x:v>
      </x:c>
      <x:c r="G105" s="7" t="n">
        <x:f>C105*MIN(1,E105*$K$7)</x:f>
        <x:v>38880</x:v>
      </x:c>
      <x:c r="H105" s="7" t="n">
        <x:f>C105*MIN(1,E105*$K$8)</x:f>
        <x:v>50544</x:v>
      </x:c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2" customHeight="1">
      <x:c r="A106" s="1" t="str">
        <x:v>O0575</x:v>
      </x:c>
      <x:c r="B106" s="1" t="str">
        <x:v>Prospect Identified</x:v>
      </x:c>
      <x:c r="C106" s="1" t="n">
        <x:v>678000</x:v>
      </x:c>
      <x:c r="D106" s="8" t="d">
        <x:v>2026-11-18T00:00:00.000Z</x:v>
      </x:c>
      <x:c r="E106" s="12" t="n">
        <x:v>0.03</x:v>
      </x:c>
      <x:c r="F106" s="7" t="n">
        <x:f>C106*MIN(1,E106*$K$6)</x:f>
        <x:v>14237.999999999998</x:v>
      </x:c>
      <x:c r="G106" s="7" t="n">
        <x:f>C106*MIN(1,E106*$K$7)</x:f>
        <x:v>20340</x:v>
      </x:c>
      <x:c r="H106" s="7" t="n">
        <x:f>C106*MIN(1,E106*$K$8)</x:f>
        <x:v>26442</x:v>
      </x:c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2" customHeight="1">
      <x:c r="A107" s="1" t="str">
        <x:v>O0581</x:v>
      </x:c>
      <x:c r="B107" s="1" t="str">
        <x:v>Qualified</x:v>
      </x:c>
      <x:c r="C107" s="1" t="n">
        <x:v>95000</x:v>
      </x:c>
      <x:c r="D107" s="8" t="d">
        <x:v>2026-10-04T00:00:00.000Z</x:v>
      </x:c>
      <x:c r="E107" s="12" t="n">
        <x:v>0.1</x:v>
      </x:c>
      <x:c r="F107" s="7" t="n">
        <x:f>C107*MIN(1,E107*$K$6)</x:f>
        <x:v>6649.999999999999</x:v>
      </x:c>
      <x:c r="G107" s="7" t="n">
        <x:f>C107*MIN(1,E107*$K$7)</x:f>
        <x:v>9500</x:v>
      </x:c>
      <x:c r="H107" s="7" t="n">
        <x:f>C107*MIN(1,E107*$K$8)</x:f>
        <x:v>12350</x:v>
      </x:c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2" customHeight="1">
      <x:c r="A108" s="1" t="str">
        <x:v>O0584</x:v>
      </x:c>
      <x:c r="B108" s="1" t="str">
        <x:v>Meeting Scheduled</x:v>
      </x:c>
      <x:c r="C108" s="1" t="n">
        <x:v>351000</x:v>
      </x:c>
      <x:c r="D108" s="8" t="d">
        <x:v>2026-11-15T00:00:00.000Z</x:v>
      </x:c>
      <x:c r="E108" s="12" t="n">
        <x:v>0.3</x:v>
      </x:c>
      <x:c r="F108" s="7" t="n">
        <x:f>C108*MIN(1,E108*$K$6)</x:f>
        <x:v>73710</x:v>
      </x:c>
      <x:c r="G108" s="7" t="n">
        <x:f>C108*MIN(1,E108*$K$7)</x:f>
        <x:v>105300</x:v>
      </x:c>
      <x:c r="H108" s="7" t="n">
        <x:f>C108*MIN(1,E108*$K$8)</x:f>
        <x:v>136890</x:v>
      </x:c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2" customHeight="1">
      <x:c r="A109" s="1" t="str">
        <x:v>O0586</x:v>
      </x:c>
      <x:c r="B109" s="1" t="str">
        <x:v>Prospect Identified</x:v>
      </x:c>
      <x:c r="C109" s="1" t="n">
        <x:v>265000</x:v>
      </x:c>
      <x:c r="D109" s="8" t="d">
        <x:v>2026-10-05T00:00:00.000Z</x:v>
      </x:c>
      <x:c r="E109" s="12" t="n">
        <x:v>0.03</x:v>
      </x:c>
      <x:c r="F109" s="7" t="n">
        <x:f>C109*MIN(1,E109*$K$6)</x:f>
        <x:v>5564.999999999999</x:v>
      </x:c>
      <x:c r="G109" s="7" t="n">
        <x:f>C109*MIN(1,E109*$K$7)</x:f>
        <x:v>7950</x:v>
      </x:c>
      <x:c r="H109" s="7" t="n">
        <x:f>C109*MIN(1,E109*$K$8)</x:f>
        <x:v>10335</x:v>
      </x:c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2" customHeight="1">
      <x:c r="A110" s="1" t="str">
        <x:v>O0590</x:v>
      </x:c>
      <x:c r="B110" s="1" t="str">
        <x:v>Qualified</x:v>
      </x:c>
      <x:c r="C110" s="1" t="n">
        <x:v>89000</x:v>
      </x:c>
      <x:c r="D110" s="8" t="d">
        <x:v>2026-11-04T00:00:00.000Z</x:v>
      </x:c>
      <x:c r="E110" s="12" t="n">
        <x:v>0.1</x:v>
      </x:c>
      <x:c r="F110" s="7" t="n">
        <x:f>C110*MIN(1,E110*$K$6)</x:f>
        <x:v>6229.999999999999</x:v>
      </x:c>
      <x:c r="G110" s="7" t="n">
        <x:f>C110*MIN(1,E110*$K$7)</x:f>
        <x:v>8900</x:v>
      </x:c>
      <x:c r="H110" s="7" t="n">
        <x:f>C110*MIN(1,E110*$K$8)</x:f>
        <x:v>11570</x:v>
      </x:c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2" customHeight="1">
      <x:c r="A111" s="1" t="str">
        <x:v>O0591</x:v>
      </x:c>
      <x:c r="B111" s="1" t="str">
        <x:v>Proposal Sent</x:v>
      </x:c>
      <x:c r="C111" s="1" t="n">
        <x:v>225000</x:v>
      </x:c>
      <x:c r="D111" s="8" t="d">
        <x:v>2026-11-03T00:00:00.000Z</x:v>
      </x:c>
      <x:c r="E111" s="12" t="n">
        <x:v>0.5</x:v>
      </x:c>
      <x:c r="F111" s="7" t="n">
        <x:f>C111*MIN(1,E111*$K$6)</x:f>
        <x:v>78750</x:v>
      </x:c>
      <x:c r="G111" s="7" t="n">
        <x:f>C111*MIN(1,E111*$K$7)</x:f>
        <x:v>112500</x:v>
      </x:c>
      <x:c r="H111" s="7" t="n">
        <x:f>C111*MIN(1,E111*$K$8)</x:f>
        <x:v>146250</x:v>
      </x:c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2" customHeight="1">
      <x:c r="A112" s="1" t="str">
        <x:v>O0592</x:v>
      </x:c>
      <x:c r="B112" s="1" t="str">
        <x:v>Meeting Scheduled</x:v>
      </x:c>
      <x:c r="C112" s="1" t="n">
        <x:v>156000</x:v>
      </x:c>
      <x:c r="D112" s="8" t="d">
        <x:v>2026-12-19T00:00:00.000Z</x:v>
      </x:c>
      <x:c r="E112" s="12" t="n">
        <x:v>0.3</x:v>
      </x:c>
      <x:c r="F112" s="7" t="n">
        <x:f>C112*MIN(1,E112*$K$6)</x:f>
        <x:v>32760</x:v>
      </x:c>
      <x:c r="G112" s="7" t="n">
        <x:f>C112*MIN(1,E112*$K$7)</x:f>
        <x:v>46800</x:v>
      </x:c>
      <x:c r="H112" s="7" t="n">
        <x:f>C112*MIN(1,E112*$K$8)</x:f>
        <x:v>60840</x:v>
      </x:c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2" customHeight="1">
      <x:c r="A113" s="1" t="str">
        <x:v>O0600</x:v>
      </x:c>
      <x:c r="B113" s="1" t="str">
        <x:v>Meeting Scheduled</x:v>
      </x:c>
      <x:c r="C113" s="1" t="n">
        <x:v>265000</x:v>
      </x:c>
      <x:c r="D113" s="8" t="d">
        <x:v>2026-11-13T00:00:00.000Z</x:v>
      </x:c>
      <x:c r="E113" s="12" t="n">
        <x:v>0.3</x:v>
      </x:c>
      <x:c r="F113" s="7" t="n">
        <x:f>C113*MIN(1,E113*$K$6)</x:f>
        <x:v>55650</x:v>
      </x:c>
      <x:c r="G113" s="7" t="n">
        <x:f>C113*MIN(1,E113*$K$7)</x:f>
        <x:v>79500</x:v>
      </x:c>
      <x:c r="H113" s="7" t="n">
        <x:f>C113*MIN(1,E113*$K$8)</x:f>
        <x:v>103350</x:v>
      </x:c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2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2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2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2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2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2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2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2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2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2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2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2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2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2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2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2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2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2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2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2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2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2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2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2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2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2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2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2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2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2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2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2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2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2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2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2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2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2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2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2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2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2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2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2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2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2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2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2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2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2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2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2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2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2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2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2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2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2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2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2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2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2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2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2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2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2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2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2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2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2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2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2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2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2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2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2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2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2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2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2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2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2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2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2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2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2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2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2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2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2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2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2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2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2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2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2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2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2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2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2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2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2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2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2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2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2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2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2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2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2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2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2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2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2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2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2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2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2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2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2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2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2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2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2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2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2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2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2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2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2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2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2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2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2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2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2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2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2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2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2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2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2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2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2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2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2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2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2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2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2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2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2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2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2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2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2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2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2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2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2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2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2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2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2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2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2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2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2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2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2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2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2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2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2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2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2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2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2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2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2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2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2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2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2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2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2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2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2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2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2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2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2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2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2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2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2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2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2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2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2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2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2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2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2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2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2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2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2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2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2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2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2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2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2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2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2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2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2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2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2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2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2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2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2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2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2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2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2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2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2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2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2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2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2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2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2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2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2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2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2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2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2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2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2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2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2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2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2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2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2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2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2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2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2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2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2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2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2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2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2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2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2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2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2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2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2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2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2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2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2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2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2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2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2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2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2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2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2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2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2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2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2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2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2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2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2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2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2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2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2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2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2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2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2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2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2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2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2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2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2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2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2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2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2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2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2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2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2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2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2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2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2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2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2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2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2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2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2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2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2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2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2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2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2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2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2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2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2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2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2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2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2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2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2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2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2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2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2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2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2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2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2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2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2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2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2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2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2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2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2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2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2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2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2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2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2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2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2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2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2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2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2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2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2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2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2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2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2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2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2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2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2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2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2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2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2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2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2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2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2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2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2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2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2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2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2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2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2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2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2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2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2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2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2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2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2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2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2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2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2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2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2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2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2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2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2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2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2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2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2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2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2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2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2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2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2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2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2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2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2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  <x:row r="601" ht="22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</x:row>
    <x:row r="602" ht="22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</x:row>
    <x:row r="603" ht="22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</x:row>
    <x:row r="604" ht="22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</x:row>
    <x:row r="605" ht="22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</x:row>
    <x:row r="606" ht="22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</x:row>
    <x:row r="607" ht="22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</x:row>
    <x:row r="608" ht="22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</x:row>
    <x:row r="609" ht="22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</x:row>
    <x:row r="610" ht="22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</x:row>
  </x:sheetData>
  <x:dataValidations count="1">
    <x:dataValidation type="decimal" operator="between" sqref="K6:K8">
      <x:formula1>0</x:formula1>
      <x:formula2>2</x:formula2>
    </x:dataValidation>
  </x:dataValidations>
  <x:pageMargins left="0.7" right="0.7" top="0.75" bottom="0.75" header="0.3" footer="0.3"/>
  <x:drawing xmlns:r="http://schemas.openxmlformats.org/officeDocument/2006/relationships" r:id="Rf74bd4f448394f21"/>
  <x:tableParts count="1">
    <x:tablePart xmlns:r="http://schemas.openxmlformats.org/officeDocument/2006/relationships" r:id="R8eaac4703dc4458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Contract revenue schedule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3" t="str">
        <x:v>Daily accrual inclusive of signature. 365-day service term. Payment status is not a cash receipt.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6" t="str">
        <x:v>Contract</x:v>
      </x:c>
      <x:c r="B5" s="6" t="str">
        <x:v>Opportunity</x:v>
      </x:c>
      <x:c r="C5" s="6" t="str">
        <x:v>Signature</x:v>
      </x:c>
      <x:c r="D5" s="6" t="str">
        <x:v>Value INR</x:v>
      </x:c>
      <x:c r="E5" s="6" t="str">
        <x:v>Term days</x:v>
      </x:c>
      <x:c r="F5" s="6" t="str">
        <x:v>Payment status</x:v>
      </x:c>
      <x:c r="G5" s="6" t="str">
        <x:v>Accrued days</x:v>
      </x:c>
      <x:c r="H5" s="6" t="str">
        <x:v>Recognized INR</x:v>
      </x:c>
      <x:c r="I5" s="1"/>
      <x:c r="J5" s="1" t="str">
        <x:v>As of date</x:v>
      </x:c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C0001</x:v>
      </x:c>
      <x:c r="B6" s="1" t="str">
        <x:v>O0001</x:v>
      </x:c>
      <x:c r="C6" s="8" t="d">
        <x:v>2026-05-15T00:00:00.000Z</x:v>
      </x:c>
      <x:c r="D6" s="7" t="n">
        <x:v>104000</x:v>
      </x:c>
      <x:c r="E6" s="1" t="n">
        <x:v>365</x:v>
      </x:c>
      <x:c r="F6" s="1" t="str">
        <x:v>Part-paid</x:v>
      </x:c>
      <x:c r="G6" s="1" t="n">
        <x:f>MAX(0,MIN(E6,$J$6-C6+1))</x:f>
        <x:v>139</x:v>
      </x:c>
      <x:c r="H6" s="7" t="n">
        <x:f>ROUND(D6*G6/E6,2)</x:f>
        <x:v>39605.48</x:v>
      </x:c>
      <x:c r="I6" s="1"/>
      <x:c r="J6" s="8" t="d">
        <x:v>2026-09-30T00:00:00.000Z</x:v>
      </x:c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C0002</x:v>
      </x:c>
      <x:c r="B7" s="1" t="str">
        <x:v>O0010</x:v>
      </x:c>
      <x:c r="C7" s="8" t="d">
        <x:v>2026-05-27T00:00:00.000Z</x:v>
      </x:c>
      <x:c r="D7" s="7" t="n">
        <x:v>101000</x:v>
      </x:c>
      <x:c r="E7" s="1" t="n">
        <x:v>365</x:v>
      </x:c>
      <x:c r="F7" s="1" t="str">
        <x:v>Unpaid</x:v>
      </x:c>
      <x:c r="G7" s="1" t="n">
        <x:f>MAX(0,MIN(E7,$J$6-C7+1))</x:f>
        <x:v>127</x:v>
      </x:c>
      <x:c r="H7" s="7" t="n">
        <x:f>ROUND(D7*G7/E7,2)</x:f>
        <x:v>35142.47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C0003</x:v>
      </x:c>
      <x:c r="B8" s="1" t="str">
        <x:v>O0017</x:v>
      </x:c>
      <x:c r="C8" s="8" t="d">
        <x:v>2026-08-15T00:00:00.000Z</x:v>
      </x:c>
      <x:c r="D8" s="7" t="n">
        <x:v>102000</x:v>
      </x:c>
      <x:c r="E8" s="1" t="n">
        <x:v>365</x:v>
      </x:c>
      <x:c r="F8" s="1" t="str">
        <x:v>Part-paid</x:v>
      </x:c>
      <x:c r="G8" s="1" t="n">
        <x:f>MAX(0,MIN(E8,$J$6-C8+1))</x:f>
        <x:v>47</x:v>
      </x:c>
      <x:c r="H8" s="7" t="n">
        <x:f>ROUND(D8*G8/E8,2)</x:f>
        <x:v>13134.25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C0004</x:v>
      </x:c>
      <x:c r="B9" s="1" t="str">
        <x:v>O0021</x:v>
      </x:c>
      <x:c r="C9" s="8" t="d">
        <x:v>2026-01-27T00:00:00.000Z</x:v>
      </x:c>
      <x:c r="D9" s="7" t="n">
        <x:v>313000</x:v>
      </x:c>
      <x:c r="E9" s="1" t="n">
        <x:v>365</x:v>
      </x:c>
      <x:c r="F9" s="1" t="str">
        <x:v>Paid</x:v>
      </x:c>
      <x:c r="G9" s="1" t="n">
        <x:f>MAX(0,MIN(E9,$J$6-C9+1))</x:f>
        <x:v>247</x:v>
      </x:c>
      <x:c r="H9" s="7" t="n">
        <x:f>ROUND(D9*G9/E9,2)</x:f>
        <x:v>211810.96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 t="str">
        <x:v>C0005</x:v>
      </x:c>
      <x:c r="B10" s="1" t="str">
        <x:v>O0032</x:v>
      </x:c>
      <x:c r="C10" s="8" t="d">
        <x:v>2026-05-04T00:00:00.000Z</x:v>
      </x:c>
      <x:c r="D10" s="7" t="n">
        <x:v>119000</x:v>
      </x:c>
      <x:c r="E10" s="1" t="n">
        <x:v>365</x:v>
      </x:c>
      <x:c r="F10" s="1" t="str">
        <x:v>Paid</x:v>
      </x:c>
      <x:c r="G10" s="1" t="n">
        <x:f>MAX(0,MIN(E10,$J$6-C10+1))</x:f>
        <x:v>150</x:v>
      </x:c>
      <x:c r="H10" s="7" t="n">
        <x:f>ROUND(D10*G10/E10,2)</x:f>
        <x:v>48904.11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C0006</x:v>
      </x:c>
      <x:c r="B11" s="1" t="str">
        <x:v>O0035</x:v>
      </x:c>
      <x:c r="C11" s="8" t="d">
        <x:v>2026-07-24T00:00:00.000Z</x:v>
      </x:c>
      <x:c r="D11" s="7" t="n">
        <x:v>159000</x:v>
      </x:c>
      <x:c r="E11" s="1" t="n">
        <x:v>365</x:v>
      </x:c>
      <x:c r="F11" s="1" t="str">
        <x:v>Paid</x:v>
      </x:c>
      <x:c r="G11" s="1" t="n">
        <x:f>MAX(0,MIN(E11,$J$6-C11+1))</x:f>
        <x:v>69</x:v>
      </x:c>
      <x:c r="H11" s="7" t="n">
        <x:f>ROUND(D11*G11/E11,2)</x:f>
        <x:v>30057.53</x:v>
      </x:c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 t="str">
        <x:v>C0007</x:v>
      </x:c>
      <x:c r="B12" s="1" t="str">
        <x:v>O0040</x:v>
      </x:c>
      <x:c r="C12" s="8" t="d">
        <x:v>2026-08-22T00:00:00.000Z</x:v>
      </x:c>
      <x:c r="D12" s="7" t="n">
        <x:v>110000</x:v>
      </x:c>
      <x:c r="E12" s="1" t="n">
        <x:v>365</x:v>
      </x:c>
      <x:c r="F12" s="1" t="str">
        <x:v>Part-paid</x:v>
      </x:c>
      <x:c r="G12" s="1" t="n">
        <x:f>MAX(0,MIN(E12,$J$6-C12+1))</x:f>
        <x:v>40</x:v>
      </x:c>
      <x:c r="H12" s="7" t="n">
        <x:f>ROUND(D12*G12/E12,2)</x:f>
        <x:v>12054.79</x:v>
      </x:c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 t="str">
        <x:v>C0008</x:v>
      </x:c>
      <x:c r="B13" s="1" t="str">
        <x:v>O0053</x:v>
      </x:c>
      <x:c r="C13" s="8" t="d">
        <x:v>2026-06-22T00:00:00.000Z</x:v>
      </x:c>
      <x:c r="D13" s="7" t="n">
        <x:v>359000</x:v>
      </x:c>
      <x:c r="E13" s="1" t="n">
        <x:v>365</x:v>
      </x:c>
      <x:c r="F13" s="1" t="str">
        <x:v>Paid</x:v>
      </x:c>
      <x:c r="G13" s="1" t="n">
        <x:f>MAX(0,MIN(E13,$J$6-C13+1))</x:f>
        <x:v>101</x:v>
      </x:c>
      <x:c r="H13" s="7" t="n">
        <x:f>ROUND(D13*G13/E13,2)</x:f>
        <x:v>99339.73</x:v>
      </x:c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 t="str">
        <x:v>C0009</x:v>
      </x:c>
      <x:c r="B14" s="1" t="str">
        <x:v>O0060</x:v>
      </x:c>
      <x:c r="C14" s="8" t="d">
        <x:v>2026-07-06T00:00:00.000Z</x:v>
      </x:c>
      <x:c r="D14" s="7" t="n">
        <x:v>392000</x:v>
      </x:c>
      <x:c r="E14" s="1" t="n">
        <x:v>365</x:v>
      </x:c>
      <x:c r="F14" s="1" t="str">
        <x:v>Unpaid</x:v>
      </x:c>
      <x:c r="G14" s="1" t="n">
        <x:f>MAX(0,MIN(E14,$J$6-C14+1))</x:f>
        <x:v>87</x:v>
      </x:c>
      <x:c r="H14" s="7" t="n">
        <x:f>ROUND(D14*G14/E14,2)</x:f>
        <x:v>93435.62</x:v>
      </x:c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 t="str">
        <x:v>C0010</x:v>
      </x:c>
      <x:c r="B15" s="1" t="str">
        <x:v>O0069</x:v>
      </x:c>
      <x:c r="C15" s="8" t="d">
        <x:v>2026-09-15T00:00:00.000Z</x:v>
      </x:c>
      <x:c r="D15" s="7" t="n">
        <x:v>98000</x:v>
      </x:c>
      <x:c r="E15" s="1" t="n">
        <x:v>365</x:v>
      </x:c>
      <x:c r="F15" s="1" t="str">
        <x:v>Paid</x:v>
      </x:c>
      <x:c r="G15" s="1" t="n">
        <x:f>MAX(0,MIN(E15,$J$6-C15+1))</x:f>
        <x:v>16</x:v>
      </x:c>
      <x:c r="H15" s="7" t="n">
        <x:f>ROUND(D15*G15/E15,2)</x:f>
        <x:v>4295.89</x:v>
      </x:c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 t="str">
        <x:v>C0011</x:v>
      </x:c>
      <x:c r="B16" s="1" t="str">
        <x:v>O0123</x:v>
      </x:c>
      <x:c r="C16" s="8" t="d">
        <x:v>2026-07-01T00:00:00.000Z</x:v>
      </x:c>
      <x:c r="D16" s="7" t="n">
        <x:v>240000</x:v>
      </x:c>
      <x:c r="E16" s="1" t="n">
        <x:v>365</x:v>
      </x:c>
      <x:c r="F16" s="1" t="str">
        <x:v>Unpaid</x:v>
      </x:c>
      <x:c r="G16" s="1" t="n">
        <x:f>MAX(0,MIN(E16,$J$6-C16+1))</x:f>
        <x:v>92</x:v>
      </x:c>
      <x:c r="H16" s="7" t="n">
        <x:f>ROUND(D16*G16/E16,2)</x:f>
        <x:v>60493.15</x:v>
      </x:c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 t="str">
        <x:v>C0012</x:v>
      </x:c>
      <x:c r="B17" s="1" t="str">
        <x:v>O0137</x:v>
      </x:c>
      <x:c r="C17" s="8" t="d">
        <x:v>2026-08-18T00:00:00.000Z</x:v>
      </x:c>
      <x:c r="D17" s="7" t="n">
        <x:v>121000</x:v>
      </x:c>
      <x:c r="E17" s="1" t="n">
        <x:v>365</x:v>
      </x:c>
      <x:c r="F17" s="1" t="str">
        <x:v>Part-paid</x:v>
      </x:c>
      <x:c r="G17" s="1" t="n">
        <x:f>MAX(0,MIN(E17,$J$6-C17+1))</x:f>
        <x:v>44</x:v>
      </x:c>
      <x:c r="H17" s="7" t="n">
        <x:f>ROUND(D17*G17/E17,2)</x:f>
        <x:v>14586.3</x:v>
      </x:c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 t="str">
        <x:v>C0013</x:v>
      </x:c>
      <x:c r="B18" s="1" t="str">
        <x:v>O0156</x:v>
      </x:c>
      <x:c r="C18" s="8" t="d">
        <x:v>2026-02-02T00:00:00.000Z</x:v>
      </x:c>
      <x:c r="D18" s="7" t="n">
        <x:v>133000</x:v>
      </x:c>
      <x:c r="E18" s="1" t="n">
        <x:v>365</x:v>
      </x:c>
      <x:c r="F18" s="1" t="str">
        <x:v>Paid</x:v>
      </x:c>
      <x:c r="G18" s="1" t="n">
        <x:f>MAX(0,MIN(E18,$J$6-C18+1))</x:f>
        <x:v>241</x:v>
      </x:c>
      <x:c r="H18" s="7" t="n">
        <x:f>ROUND(D18*G18/E18,2)</x:f>
        <x:v>87816.44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 t="str">
        <x:v>C0014</x:v>
      </x:c>
      <x:c r="B19" s="1" t="str">
        <x:v>O0159</x:v>
      </x:c>
      <x:c r="C19" s="8" t="d">
        <x:v>2026-09-10T00:00:00.000Z</x:v>
      </x:c>
      <x:c r="D19" s="7" t="n">
        <x:v>220000</x:v>
      </x:c>
      <x:c r="E19" s="1" t="n">
        <x:v>365</x:v>
      </x:c>
      <x:c r="F19" s="1" t="str">
        <x:v>Unpaid</x:v>
      </x:c>
      <x:c r="G19" s="1" t="n">
        <x:f>MAX(0,MIN(E19,$J$6-C19+1))</x:f>
        <x:v>21</x:v>
      </x:c>
      <x:c r="H19" s="7" t="n">
        <x:f>ROUND(D19*G19/E19,2)</x:f>
        <x:v>12657.53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 t="str">
        <x:v>C0015</x:v>
      </x:c>
      <x:c r="B20" s="1" t="str">
        <x:v>O0160</x:v>
      </x:c>
      <x:c r="C20" s="8" t="d">
        <x:v>2026-06-19T00:00:00.000Z</x:v>
      </x:c>
      <x:c r="D20" s="7" t="n">
        <x:v>558000</x:v>
      </x:c>
      <x:c r="E20" s="1" t="n">
        <x:v>365</x:v>
      </x:c>
      <x:c r="F20" s="1" t="str">
        <x:v>Part-paid</x:v>
      </x:c>
      <x:c r="G20" s="1" t="n">
        <x:f>MAX(0,MIN(E20,$J$6-C20+1))</x:f>
        <x:v>104</x:v>
      </x:c>
      <x:c r="H20" s="7" t="n">
        <x:f>ROUND(D20*G20/E20,2)</x:f>
        <x:v>158991.78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 t="str">
        <x:v>C0016</x:v>
      </x:c>
      <x:c r="B21" s="1" t="str">
        <x:v>O0163</x:v>
      </x:c>
      <x:c r="C21" s="8" t="d">
        <x:v>2026-09-06T00:00:00.000Z</x:v>
      </x:c>
      <x:c r="D21" s="7" t="n">
        <x:v>340000</x:v>
      </x:c>
      <x:c r="E21" s="1" t="n">
        <x:v>365</x:v>
      </x:c>
      <x:c r="F21" s="1" t="str">
        <x:v>Part-paid</x:v>
      </x:c>
      <x:c r="G21" s="1" t="n">
        <x:f>MAX(0,MIN(E21,$J$6-C21+1))</x:f>
        <x:v>25</x:v>
      </x:c>
      <x:c r="H21" s="7" t="n">
        <x:f>ROUND(D21*G21/E21,2)</x:f>
        <x:v>23287.67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 t="str">
        <x:v>C0017</x:v>
      </x:c>
      <x:c r="B22" s="1" t="str">
        <x:v>O0182</x:v>
      </x:c>
      <x:c r="C22" s="8" t="d">
        <x:v>2026-02-22T00:00:00.000Z</x:v>
      </x:c>
      <x:c r="D22" s="7" t="n">
        <x:v>285000</x:v>
      </x:c>
      <x:c r="E22" s="1" t="n">
        <x:v>365</x:v>
      </x:c>
      <x:c r="F22" s="1" t="str">
        <x:v>Paid</x:v>
      </x:c>
      <x:c r="G22" s="1" t="n">
        <x:f>MAX(0,MIN(E22,$J$6-C22+1))</x:f>
        <x:v>221</x:v>
      </x:c>
      <x:c r="H22" s="7" t="n">
        <x:f>ROUND(D22*G22/E22,2)</x:f>
        <x:v>172561.64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 t="str">
        <x:v>C0018</x:v>
      </x:c>
      <x:c r="B23" s="1" t="str">
        <x:v>O0186</x:v>
      </x:c>
      <x:c r="C23" s="8" t="d">
        <x:v>2026-03-19T00:00:00.000Z</x:v>
      </x:c>
      <x:c r="D23" s="7" t="n">
        <x:v>349000</x:v>
      </x:c>
      <x:c r="E23" s="1" t="n">
        <x:v>365</x:v>
      </x:c>
      <x:c r="F23" s="1" t="str">
        <x:v>Part-paid</x:v>
      </x:c>
      <x:c r="G23" s="1" t="n">
        <x:f>MAX(0,MIN(E23,$J$6-C23+1))</x:f>
        <x:v>196</x:v>
      </x:c>
      <x:c r="H23" s="7" t="n">
        <x:f>ROUND(D23*G23/E23,2)</x:f>
        <x:v>187408.22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 t="str">
        <x:v>C0019</x:v>
      </x:c>
      <x:c r="B24" s="1" t="str">
        <x:v>O0187</x:v>
      </x:c>
      <x:c r="C24" s="8" t="d">
        <x:v>2026-09-24T00:00:00.000Z</x:v>
      </x:c>
      <x:c r="D24" s="7" t="n">
        <x:v>88000</x:v>
      </x:c>
      <x:c r="E24" s="1" t="n">
        <x:v>365</x:v>
      </x:c>
      <x:c r="F24" s="1" t="str">
        <x:v>Part-paid</x:v>
      </x:c>
      <x:c r="G24" s="1" t="n">
        <x:f>MAX(0,MIN(E24,$J$6-C24+1))</x:f>
        <x:v>7</x:v>
      </x:c>
      <x:c r="H24" s="7" t="n">
        <x:f>ROUND(D24*G24/E24,2)</x:f>
        <x:v>1687.67</x:v>
      </x:c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 t="str">
        <x:v>C0020</x:v>
      </x:c>
      <x:c r="B25" s="1" t="str">
        <x:v>O0188</x:v>
      </x:c>
      <x:c r="C25" s="8" t="d">
        <x:v>2026-06-26T00:00:00.000Z</x:v>
      </x:c>
      <x:c r="D25" s="7" t="n">
        <x:v>159000</x:v>
      </x:c>
      <x:c r="E25" s="1" t="n">
        <x:v>365</x:v>
      </x:c>
      <x:c r="F25" s="1" t="str">
        <x:v>Unpaid</x:v>
      </x:c>
      <x:c r="G25" s="1" t="n">
        <x:f>MAX(0,MIN(E25,$J$6-C25+1))</x:f>
        <x:v>97</x:v>
      </x:c>
      <x:c r="H25" s="7" t="n">
        <x:f>ROUND(D25*G25/E25,2)</x:f>
        <x:v>42254.79</x:v>
      </x:c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 t="str">
        <x:v>C0021</x:v>
      </x:c>
      <x:c r="B26" s="1" t="str">
        <x:v>O0200</x:v>
      </x:c>
      <x:c r="C26" s="8" t="d">
        <x:v>2026-09-22T00:00:00.000Z</x:v>
      </x:c>
      <x:c r="D26" s="7" t="n">
        <x:v>259000</x:v>
      </x:c>
      <x:c r="E26" s="1" t="n">
        <x:v>365</x:v>
      </x:c>
      <x:c r="F26" s="1" t="str">
        <x:v>Unpaid</x:v>
      </x:c>
      <x:c r="G26" s="1" t="n">
        <x:f>MAX(0,MIN(E26,$J$6-C26+1))</x:f>
        <x:v>9</x:v>
      </x:c>
      <x:c r="H26" s="7" t="n">
        <x:f>ROUND(D26*G26/E26,2)</x:f>
        <x:v>6386.3</x:v>
      </x:c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 t="str">
        <x:v>C0022</x:v>
      </x:c>
      <x:c r="B27" s="1" t="str">
        <x:v>O0208</x:v>
      </x:c>
      <x:c r="C27" s="8" t="d">
        <x:v>2026-06-10T00:00:00.000Z</x:v>
      </x:c>
      <x:c r="D27" s="7" t="n">
        <x:v>203000</x:v>
      </x:c>
      <x:c r="E27" s="1" t="n">
        <x:v>365</x:v>
      </x:c>
      <x:c r="F27" s="1" t="str">
        <x:v>Part-paid</x:v>
      </x:c>
      <x:c r="G27" s="1" t="n">
        <x:f>MAX(0,MIN(E27,$J$6-C27+1))</x:f>
        <x:v>113</x:v>
      </x:c>
      <x:c r="H27" s="7" t="n">
        <x:f>ROUND(D27*G27/E27,2)</x:f>
        <x:v>62846.58</x:v>
      </x:c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 t="str">
        <x:v>C0023</x:v>
      </x:c>
      <x:c r="B28" s="1" t="str">
        <x:v>O0217</x:v>
      </x:c>
      <x:c r="C28" s="8" t="d">
        <x:v>2026-05-04T00:00:00.000Z</x:v>
      </x:c>
      <x:c r="D28" s="7" t="n">
        <x:v>447000</x:v>
      </x:c>
      <x:c r="E28" s="1" t="n">
        <x:v>365</x:v>
      </x:c>
      <x:c r="F28" s="1" t="str">
        <x:v>Part-paid</x:v>
      </x:c>
      <x:c r="G28" s="1" t="n">
        <x:f>MAX(0,MIN(E28,$J$6-C28+1))</x:f>
        <x:v>150</x:v>
      </x:c>
      <x:c r="H28" s="7" t="n">
        <x:f>ROUND(D28*G28/E28,2)</x:f>
        <x:v>183698.63</x:v>
      </x:c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 t="str">
        <x:v>C0024</x:v>
      </x:c>
      <x:c r="B29" s="1" t="str">
        <x:v>O0220</x:v>
      </x:c>
      <x:c r="C29" s="8" t="d">
        <x:v>2026-08-03T00:00:00.000Z</x:v>
      </x:c>
      <x:c r="D29" s="7" t="n">
        <x:v>137000</x:v>
      </x:c>
      <x:c r="E29" s="1" t="n">
        <x:v>365</x:v>
      </x:c>
      <x:c r="F29" s="1" t="str">
        <x:v>Unpaid</x:v>
      </x:c>
      <x:c r="G29" s="1" t="n">
        <x:f>MAX(0,MIN(E29,$J$6-C29+1))</x:f>
        <x:v>59</x:v>
      </x:c>
      <x:c r="H29" s="7" t="n">
        <x:f>ROUND(D29*G29/E29,2)</x:f>
        <x:v>22145.21</x:v>
      </x:c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 t="str">
        <x:v>C0025</x:v>
      </x:c>
      <x:c r="B30" s="1" t="str">
        <x:v>O0234</x:v>
      </x:c>
      <x:c r="C30" s="8" t="d">
        <x:v>2026-02-03T00:00:00.000Z</x:v>
      </x:c>
      <x:c r="D30" s="7" t="n">
        <x:v>521000</x:v>
      </x:c>
      <x:c r="E30" s="1" t="n">
        <x:v>365</x:v>
      </x:c>
      <x:c r="F30" s="1" t="str">
        <x:v>Unpaid</x:v>
      </x:c>
      <x:c r="G30" s="1" t="n">
        <x:f>MAX(0,MIN(E30,$J$6-C30+1))</x:f>
        <x:v>240</x:v>
      </x:c>
      <x:c r="H30" s="7" t="n">
        <x:f>ROUND(D30*G30/E30,2)</x:f>
        <x:v>342575.34</x:v>
      </x:c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 t="str">
        <x:v>C0026</x:v>
      </x:c>
      <x:c r="B31" s="1" t="str">
        <x:v>O0244</x:v>
      </x:c>
      <x:c r="C31" s="8" t="d">
        <x:v>2026-05-11T00:00:00.000Z</x:v>
      </x:c>
      <x:c r="D31" s="7" t="n">
        <x:v>436000</x:v>
      </x:c>
      <x:c r="E31" s="1" t="n">
        <x:v>365</x:v>
      </x:c>
      <x:c r="F31" s="1" t="str">
        <x:v>Paid</x:v>
      </x:c>
      <x:c r="G31" s="1" t="n">
        <x:f>MAX(0,MIN(E31,$J$6-C31+1))</x:f>
        <x:v>143</x:v>
      </x:c>
      <x:c r="H31" s="7" t="n">
        <x:f>ROUND(D31*G31/E31,2)</x:f>
        <x:v>170816.44</x:v>
      </x:c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 t="str">
        <x:v>C0027</x:v>
      </x:c>
      <x:c r="B32" s="1" t="str">
        <x:v>O0260</x:v>
      </x:c>
      <x:c r="C32" s="8" t="d">
        <x:v>2026-03-23T00:00:00.000Z</x:v>
      </x:c>
      <x:c r="D32" s="7" t="n">
        <x:v>828000</x:v>
      </x:c>
      <x:c r="E32" s="1" t="n">
        <x:v>365</x:v>
      </x:c>
      <x:c r="F32" s="1" t="str">
        <x:v>Part-paid</x:v>
      </x:c>
      <x:c r="G32" s="1" t="n">
        <x:f>MAX(0,MIN(E32,$J$6-C32+1))</x:f>
        <x:v>192</x:v>
      </x:c>
      <x:c r="H32" s="7" t="n">
        <x:f>ROUND(D32*G32/E32,2)</x:f>
        <x:v>435550.68</x:v>
      </x:c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 t="str">
        <x:v>C0028</x:v>
      </x:c>
      <x:c r="B33" s="1" t="str">
        <x:v>O0264</x:v>
      </x:c>
      <x:c r="C33" s="8" t="d">
        <x:v>2026-07-03T00:00:00.000Z</x:v>
      </x:c>
      <x:c r="D33" s="7" t="n">
        <x:v>373000</x:v>
      </x:c>
      <x:c r="E33" s="1" t="n">
        <x:v>365</x:v>
      </x:c>
      <x:c r="F33" s="1" t="str">
        <x:v>Paid</x:v>
      </x:c>
      <x:c r="G33" s="1" t="n">
        <x:f>MAX(0,MIN(E33,$J$6-C33+1))</x:f>
        <x:v>90</x:v>
      </x:c>
      <x:c r="H33" s="7" t="n">
        <x:f>ROUND(D33*G33/E33,2)</x:f>
        <x:v>91972.6</x:v>
      </x:c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 t="str">
        <x:v>C0029</x:v>
      </x:c>
      <x:c r="B34" s="1" t="str">
        <x:v>O0276</x:v>
      </x:c>
      <x:c r="C34" s="8" t="d">
        <x:v>2026-03-18T00:00:00.000Z</x:v>
      </x:c>
      <x:c r="D34" s="7" t="n">
        <x:v>276000</x:v>
      </x:c>
      <x:c r="E34" s="1" t="n">
        <x:v>365</x:v>
      </x:c>
      <x:c r="F34" s="1" t="str">
        <x:v>Unpaid</x:v>
      </x:c>
      <x:c r="G34" s="1" t="n">
        <x:f>MAX(0,MIN(E34,$J$6-C34+1))</x:f>
        <x:v>197</x:v>
      </x:c>
      <x:c r="H34" s="7" t="n">
        <x:f>ROUND(D34*G34/E34,2)</x:f>
        <x:v>148964.38</x:v>
      </x:c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 t="str">
        <x:v>C0030</x:v>
      </x:c>
      <x:c r="B35" s="1" t="str">
        <x:v>O0281</x:v>
      </x:c>
      <x:c r="C35" s="8" t="d">
        <x:v>2026-05-20T00:00:00.000Z</x:v>
      </x:c>
      <x:c r="D35" s="7" t="n">
        <x:v>93000</x:v>
      </x:c>
      <x:c r="E35" s="1" t="n">
        <x:v>365</x:v>
      </x:c>
      <x:c r="F35" s="1" t="str">
        <x:v>Part-paid</x:v>
      </x:c>
      <x:c r="G35" s="1" t="n">
        <x:f>MAX(0,MIN(E35,$J$6-C35+1))</x:f>
        <x:v>134</x:v>
      </x:c>
      <x:c r="H35" s="7" t="n">
        <x:f>ROUND(D35*G35/E35,2)</x:f>
        <x:v>34142.47</x:v>
      </x:c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 t="str">
        <x:v>C0031</x:v>
      </x:c>
      <x:c r="B36" s="1" t="str">
        <x:v>O0285</x:v>
      </x:c>
      <x:c r="C36" s="8" t="d">
        <x:v>2026-09-15T00:00:00.000Z</x:v>
      </x:c>
      <x:c r="D36" s="7" t="n">
        <x:v>145000</x:v>
      </x:c>
      <x:c r="E36" s="1" t="n">
        <x:v>365</x:v>
      </x:c>
      <x:c r="F36" s="1" t="str">
        <x:v>Unpaid</x:v>
      </x:c>
      <x:c r="G36" s="1" t="n">
        <x:f>MAX(0,MIN(E36,$J$6-C36+1))</x:f>
        <x:v>16</x:v>
      </x:c>
      <x:c r="H36" s="7" t="n">
        <x:f>ROUND(D36*G36/E36,2)</x:f>
        <x:v>6356.16</x:v>
      </x:c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 t="str">
        <x:v>C0032</x:v>
      </x:c>
      <x:c r="B37" s="1" t="str">
        <x:v>O0290</x:v>
      </x:c>
      <x:c r="C37" s="8" t="d">
        <x:v>2026-08-30T00:00:00.000Z</x:v>
      </x:c>
      <x:c r="D37" s="7" t="n">
        <x:v>299000</x:v>
      </x:c>
      <x:c r="E37" s="1" t="n">
        <x:v>365</x:v>
      </x:c>
      <x:c r="F37" s="1" t="str">
        <x:v>Part-paid</x:v>
      </x:c>
      <x:c r="G37" s="1" t="n">
        <x:f>MAX(0,MIN(E37,$J$6-C37+1))</x:f>
        <x:v>32</x:v>
      </x:c>
      <x:c r="H37" s="7" t="n">
        <x:f>ROUND(D37*G37/E37,2)</x:f>
        <x:v>26213.7</x:v>
      </x:c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 t="str">
        <x:v>C0033</x:v>
      </x:c>
      <x:c r="B38" s="1" t="str">
        <x:v>O0323</x:v>
      </x:c>
      <x:c r="C38" s="8" t="d">
        <x:v>2026-03-26T00:00:00.000Z</x:v>
      </x:c>
      <x:c r="D38" s="7" t="n">
        <x:v>895000</x:v>
      </x:c>
      <x:c r="E38" s="1" t="n">
        <x:v>365</x:v>
      </x:c>
      <x:c r="F38" s="1" t="str">
        <x:v>Paid</x:v>
      </x:c>
      <x:c r="G38" s="1" t="n">
        <x:f>MAX(0,MIN(E38,$J$6-C38+1))</x:f>
        <x:v>189</x:v>
      </x:c>
      <x:c r="H38" s="7" t="n">
        <x:f>ROUND(D38*G38/E38,2)</x:f>
        <x:v>463438.36</x:v>
      </x:c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 t="str">
        <x:v>C0034</x:v>
      </x:c>
      <x:c r="B39" s="1" t="str">
        <x:v>O0341</x:v>
      </x:c>
      <x:c r="C39" s="8" t="d">
        <x:v>2026-07-16T00:00:00.000Z</x:v>
      </x:c>
      <x:c r="D39" s="7" t="n">
        <x:v>650000</x:v>
      </x:c>
      <x:c r="E39" s="1" t="n">
        <x:v>365</x:v>
      </x:c>
      <x:c r="F39" s="1" t="str">
        <x:v>Paid</x:v>
      </x:c>
      <x:c r="G39" s="1" t="n">
        <x:f>MAX(0,MIN(E39,$J$6-C39+1))</x:f>
        <x:v>77</x:v>
      </x:c>
      <x:c r="H39" s="7" t="n">
        <x:f>ROUND(D39*G39/E39,2)</x:f>
        <x:v>137123.29</x:v>
      </x:c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 t="str">
        <x:v>C0035</x:v>
      </x:c>
      <x:c r="B40" s="1" t="str">
        <x:v>O0353</x:v>
      </x:c>
      <x:c r="C40" s="8" t="d">
        <x:v>2026-02-20T00:00:00.000Z</x:v>
      </x:c>
      <x:c r="D40" s="7" t="n">
        <x:v>193000</x:v>
      </x:c>
      <x:c r="E40" s="1" t="n">
        <x:v>365</x:v>
      </x:c>
      <x:c r="F40" s="1" t="str">
        <x:v>Part-paid</x:v>
      </x:c>
      <x:c r="G40" s="1" t="n">
        <x:f>MAX(0,MIN(E40,$J$6-C40+1))</x:f>
        <x:v>223</x:v>
      </x:c>
      <x:c r="H40" s="7" t="n">
        <x:f>ROUND(D40*G40/E40,2)</x:f>
        <x:v>117915.07</x:v>
      </x:c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 t="str">
        <x:v>C0036</x:v>
      </x:c>
      <x:c r="B41" s="1" t="str">
        <x:v>O0376</x:v>
      </x:c>
      <x:c r="C41" s="8" t="d">
        <x:v>2026-08-16T00:00:00.000Z</x:v>
      </x:c>
      <x:c r="D41" s="7" t="n">
        <x:v>401000</x:v>
      </x:c>
      <x:c r="E41" s="1" t="n">
        <x:v>365</x:v>
      </x:c>
      <x:c r="F41" s="1" t="str">
        <x:v>Unpaid</x:v>
      </x:c>
      <x:c r="G41" s="1" t="n">
        <x:f>MAX(0,MIN(E41,$J$6-C41+1))</x:f>
        <x:v>46</x:v>
      </x:c>
      <x:c r="H41" s="7" t="n">
        <x:f>ROUND(D41*G41/E41,2)</x:f>
        <x:v>50536.99</x:v>
      </x:c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 t="str">
        <x:v>C0037</x:v>
      </x:c>
      <x:c r="B42" s="1" t="str">
        <x:v>O0380</x:v>
      </x:c>
      <x:c r="C42" s="8" t="d">
        <x:v>2026-07-07T00:00:00.000Z</x:v>
      </x:c>
      <x:c r="D42" s="7" t="n">
        <x:v>836000</x:v>
      </x:c>
      <x:c r="E42" s="1" t="n">
        <x:v>365</x:v>
      </x:c>
      <x:c r="F42" s="1" t="str">
        <x:v>Unpaid</x:v>
      </x:c>
      <x:c r="G42" s="1" t="n">
        <x:f>MAX(0,MIN(E42,$J$6-C42+1))</x:f>
        <x:v>86</x:v>
      </x:c>
      <x:c r="H42" s="7" t="n">
        <x:f>ROUND(D42*G42/E42,2)</x:f>
        <x:v>196975.34</x:v>
      </x:c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 t="str">
        <x:v>C0038</x:v>
      </x:c>
      <x:c r="B43" s="1" t="str">
        <x:v>O0392</x:v>
      </x:c>
      <x:c r="C43" s="8" t="d">
        <x:v>2026-07-11T00:00:00.000Z</x:v>
      </x:c>
      <x:c r="D43" s="7" t="n">
        <x:v>245000</x:v>
      </x:c>
      <x:c r="E43" s="1" t="n">
        <x:v>365</x:v>
      </x:c>
      <x:c r="F43" s="1" t="str">
        <x:v>Unpaid</x:v>
      </x:c>
      <x:c r="G43" s="1" t="n">
        <x:f>MAX(0,MIN(E43,$J$6-C43+1))</x:f>
        <x:v>82</x:v>
      </x:c>
      <x:c r="H43" s="7" t="n">
        <x:f>ROUND(D43*G43/E43,2)</x:f>
        <x:v>55041.1</x:v>
      </x:c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 t="str">
        <x:v>C0039</x:v>
      </x:c>
      <x:c r="B44" s="1" t="str">
        <x:v>O0404</x:v>
      </x:c>
      <x:c r="C44" s="8" t="d">
        <x:v>2026-07-14T00:00:00.000Z</x:v>
      </x:c>
      <x:c r="D44" s="7" t="n">
        <x:v>212000</x:v>
      </x:c>
      <x:c r="E44" s="1" t="n">
        <x:v>365</x:v>
      </x:c>
      <x:c r="F44" s="1" t="str">
        <x:v>Paid</x:v>
      </x:c>
      <x:c r="G44" s="1" t="n">
        <x:f>MAX(0,MIN(E44,$J$6-C44+1))</x:f>
        <x:v>79</x:v>
      </x:c>
      <x:c r="H44" s="7" t="n">
        <x:f>ROUND(D44*G44/E44,2)</x:f>
        <x:v>45884.93</x:v>
      </x:c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 t="str">
        <x:v>C0040</x:v>
      </x:c>
      <x:c r="B45" s="1" t="str">
        <x:v>O0406</x:v>
      </x:c>
      <x:c r="C45" s="8" t="d">
        <x:v>2026-07-04T00:00:00.000Z</x:v>
      </x:c>
      <x:c r="D45" s="7" t="n">
        <x:v>174000</x:v>
      </x:c>
      <x:c r="E45" s="1" t="n">
        <x:v>365</x:v>
      </x:c>
      <x:c r="F45" s="1" t="str">
        <x:v>Unpaid</x:v>
      </x:c>
      <x:c r="G45" s="1" t="n">
        <x:f>MAX(0,MIN(E45,$J$6-C45+1))</x:f>
        <x:v>89</x:v>
      </x:c>
      <x:c r="H45" s="7" t="n">
        <x:f>ROUND(D45*G45/E45,2)</x:f>
        <x:v>42427.4</x:v>
      </x:c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 t="str">
        <x:v>C0041</x:v>
      </x:c>
      <x:c r="B46" s="1" t="str">
        <x:v>O0413</x:v>
      </x:c>
      <x:c r="C46" s="8" t="d">
        <x:v>2026-04-01T00:00:00.000Z</x:v>
      </x:c>
      <x:c r="D46" s="7" t="n">
        <x:v>258000</x:v>
      </x:c>
      <x:c r="E46" s="1" t="n">
        <x:v>365</x:v>
      </x:c>
      <x:c r="F46" s="1" t="str">
        <x:v>Unpaid</x:v>
      </x:c>
      <x:c r="G46" s="1" t="n">
        <x:f>MAX(0,MIN(E46,$J$6-C46+1))</x:f>
        <x:v>183</x:v>
      </x:c>
      <x:c r="H46" s="7" t="n">
        <x:f>ROUND(D46*G46/E46,2)</x:f>
        <x:v>129353.42</x:v>
      </x:c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 t="str">
        <x:v>C0042</x:v>
      </x:c>
      <x:c r="B47" s="1" t="str">
        <x:v>O0429</x:v>
      </x:c>
      <x:c r="C47" s="8" t="d">
        <x:v>2026-07-05T00:00:00.000Z</x:v>
      </x:c>
      <x:c r="D47" s="7" t="n">
        <x:v>203000</x:v>
      </x:c>
      <x:c r="E47" s="1" t="n">
        <x:v>365</x:v>
      </x:c>
      <x:c r="F47" s="1" t="str">
        <x:v>Part-paid</x:v>
      </x:c>
      <x:c r="G47" s="1" t="n">
        <x:f>MAX(0,MIN(E47,$J$6-C47+1))</x:f>
        <x:v>88</x:v>
      </x:c>
      <x:c r="H47" s="7" t="n">
        <x:f>ROUND(D47*G47/E47,2)</x:f>
        <x:v>48942.47</x:v>
      </x:c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 t="str">
        <x:v>C0043</x:v>
      </x:c>
      <x:c r="B48" s="1" t="str">
        <x:v>O0452</x:v>
      </x:c>
      <x:c r="C48" s="8" t="d">
        <x:v>2026-06-08T00:00:00.000Z</x:v>
      </x:c>
      <x:c r="D48" s="7" t="n">
        <x:v>88000</x:v>
      </x:c>
      <x:c r="E48" s="1" t="n">
        <x:v>365</x:v>
      </x:c>
      <x:c r="F48" s="1" t="str">
        <x:v>Paid</x:v>
      </x:c>
      <x:c r="G48" s="1" t="n">
        <x:f>MAX(0,MIN(E48,$J$6-C48+1))</x:f>
        <x:v>115</x:v>
      </x:c>
      <x:c r="H48" s="7" t="n">
        <x:f>ROUND(D48*G48/E48,2)</x:f>
        <x:v>27726.03</x:v>
      </x:c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2" customHeight="1">
      <x:c r="A49" s="1" t="str">
        <x:v>C0044</x:v>
      </x:c>
      <x:c r="B49" s="1" t="str">
        <x:v>O0484</x:v>
      </x:c>
      <x:c r="C49" s="8" t="d">
        <x:v>2026-08-18T00:00:00.000Z</x:v>
      </x:c>
      <x:c r="D49" s="7" t="n">
        <x:v>531000</x:v>
      </x:c>
      <x:c r="E49" s="1" t="n">
        <x:v>365</x:v>
      </x:c>
      <x:c r="F49" s="1" t="str">
        <x:v>Paid</x:v>
      </x:c>
      <x:c r="G49" s="1" t="n">
        <x:f>MAX(0,MIN(E49,$J$6-C49+1))</x:f>
        <x:v>44</x:v>
      </x:c>
      <x:c r="H49" s="7" t="n">
        <x:f>ROUND(D49*G49/E49,2)</x:f>
        <x:v>64010.96</x:v>
      </x:c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2" customHeight="1">
      <x:c r="A50" s="1" t="str">
        <x:v>C0045</x:v>
      </x:c>
      <x:c r="B50" s="1" t="str">
        <x:v>O0494</x:v>
      </x:c>
      <x:c r="C50" s="8" t="d">
        <x:v>2026-06-29T00:00:00.000Z</x:v>
      </x:c>
      <x:c r="D50" s="7" t="n">
        <x:v>205000</x:v>
      </x:c>
      <x:c r="E50" s="1" t="n">
        <x:v>365</x:v>
      </x:c>
      <x:c r="F50" s="1" t="str">
        <x:v>Paid</x:v>
      </x:c>
      <x:c r="G50" s="1" t="n">
        <x:f>MAX(0,MIN(E50,$J$6-C50+1))</x:f>
        <x:v>94</x:v>
      </x:c>
      <x:c r="H50" s="7" t="n">
        <x:f>ROUND(D50*G50/E50,2)</x:f>
        <x:v>52794.52</x:v>
      </x:c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2" customHeight="1">
      <x:c r="A51" s="1" t="str">
        <x:v>C0046</x:v>
      </x:c>
      <x:c r="B51" s="1" t="str">
        <x:v>O0498</x:v>
      </x:c>
      <x:c r="C51" s="8" t="d">
        <x:v>2026-04-02T00:00:00.000Z</x:v>
      </x:c>
      <x:c r="D51" s="7" t="n">
        <x:v>192000</x:v>
      </x:c>
      <x:c r="E51" s="1" t="n">
        <x:v>365</x:v>
      </x:c>
      <x:c r="F51" s="1" t="str">
        <x:v>Unpaid</x:v>
      </x:c>
      <x:c r="G51" s="1" t="n">
        <x:f>MAX(0,MIN(E51,$J$6-C51+1))</x:f>
        <x:v>182</x:v>
      </x:c>
      <x:c r="H51" s="7" t="n">
        <x:f>ROUND(D51*G51/E51,2)</x:f>
        <x:v>95736.99</x:v>
      </x:c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2" customHeight="1">
      <x:c r="A52" s="1" t="str">
        <x:v>C0047</x:v>
      </x:c>
      <x:c r="B52" s="1" t="str">
        <x:v>O0499</x:v>
      </x:c>
      <x:c r="C52" s="8" t="d">
        <x:v>2026-03-10T00:00:00.000Z</x:v>
      </x:c>
      <x:c r="D52" s="7" t="n">
        <x:v>414000</x:v>
      </x:c>
      <x:c r="E52" s="1" t="n">
        <x:v>365</x:v>
      </x:c>
      <x:c r="F52" s="1" t="str">
        <x:v>Paid</x:v>
      </x:c>
      <x:c r="G52" s="1" t="n">
        <x:f>MAX(0,MIN(E52,$J$6-C52+1))</x:f>
        <x:v>205</x:v>
      </x:c>
      <x:c r="H52" s="7" t="n">
        <x:f>ROUND(D52*G52/E52,2)</x:f>
        <x:v>232520.55</x:v>
      </x:c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2" customHeight="1">
      <x:c r="A53" s="1" t="str">
        <x:v>C0048</x:v>
      </x:c>
      <x:c r="B53" s="1" t="str">
        <x:v>O0510</x:v>
      </x:c>
      <x:c r="C53" s="8" t="d">
        <x:v>2026-04-06T00:00:00.000Z</x:v>
      </x:c>
      <x:c r="D53" s="7" t="n">
        <x:v>225000</x:v>
      </x:c>
      <x:c r="E53" s="1" t="n">
        <x:v>365</x:v>
      </x:c>
      <x:c r="F53" s="1" t="str">
        <x:v>Paid</x:v>
      </x:c>
      <x:c r="G53" s="1" t="n">
        <x:f>MAX(0,MIN(E53,$J$6-C53+1))</x:f>
        <x:v>178</x:v>
      </x:c>
      <x:c r="H53" s="7" t="n">
        <x:f>ROUND(D53*G53/E53,2)</x:f>
        <x:v>109726.03</x:v>
      </x:c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2" customHeight="1">
      <x:c r="A54" s="1" t="str">
        <x:v>C0049</x:v>
      </x:c>
      <x:c r="B54" s="1" t="str">
        <x:v>O0518</x:v>
      </x:c>
      <x:c r="C54" s="8" t="d">
        <x:v>2026-09-08T00:00:00.000Z</x:v>
      </x:c>
      <x:c r="D54" s="7" t="n">
        <x:v>190000</x:v>
      </x:c>
      <x:c r="E54" s="1" t="n">
        <x:v>365</x:v>
      </x:c>
      <x:c r="F54" s="1" t="str">
        <x:v>Paid</x:v>
      </x:c>
      <x:c r="G54" s="1" t="n">
        <x:f>MAX(0,MIN(E54,$J$6-C54+1))</x:f>
        <x:v>23</x:v>
      </x:c>
      <x:c r="H54" s="7" t="n">
        <x:f>ROUND(D54*G54/E54,2)</x:f>
        <x:v>11972.6</x:v>
      </x:c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2" customHeight="1">
      <x:c r="A55" s="1" t="str">
        <x:v>C0050</x:v>
      </x:c>
      <x:c r="B55" s="1" t="str">
        <x:v>O0526</x:v>
      </x:c>
      <x:c r="C55" s="8" t="d">
        <x:v>2026-02-21T00:00:00.000Z</x:v>
      </x:c>
      <x:c r="D55" s="7" t="n">
        <x:v>336000</x:v>
      </x:c>
      <x:c r="E55" s="1" t="n">
        <x:v>365</x:v>
      </x:c>
      <x:c r="F55" s="1" t="str">
        <x:v>Unpaid</x:v>
      </x:c>
      <x:c r="G55" s="1" t="n">
        <x:f>MAX(0,MIN(E55,$J$6-C55+1))</x:f>
        <x:v>222</x:v>
      </x:c>
      <x:c r="H55" s="7" t="n">
        <x:f>ROUND(D55*G55/E55,2)</x:f>
        <x:v>204361.64</x:v>
      </x:c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2" customHeight="1">
      <x:c r="A56" s="1" t="str">
        <x:v>C0051</x:v>
      </x:c>
      <x:c r="B56" s="1" t="str">
        <x:v>O0529</x:v>
      </x:c>
      <x:c r="C56" s="8" t="d">
        <x:v>2026-07-17T00:00:00.000Z</x:v>
      </x:c>
      <x:c r="D56" s="7" t="n">
        <x:v>148000</x:v>
      </x:c>
      <x:c r="E56" s="1" t="n">
        <x:v>365</x:v>
      </x:c>
      <x:c r="F56" s="1" t="str">
        <x:v>Paid</x:v>
      </x:c>
      <x:c r="G56" s="1" t="n">
        <x:f>MAX(0,MIN(E56,$J$6-C56+1))</x:f>
        <x:v>76</x:v>
      </x:c>
      <x:c r="H56" s="7" t="n">
        <x:f>ROUND(D56*G56/E56,2)</x:f>
        <x:v>30816.44</x:v>
      </x:c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2" customHeight="1">
      <x:c r="A57" s="1" t="str">
        <x:v>C0052</x:v>
      </x:c>
      <x:c r="B57" s="1" t="str">
        <x:v>O0532</x:v>
      </x:c>
      <x:c r="C57" s="8" t="d">
        <x:v>2026-03-20T00:00:00.000Z</x:v>
      </x:c>
      <x:c r="D57" s="7" t="n">
        <x:v>318000</x:v>
      </x:c>
      <x:c r="E57" s="1" t="n">
        <x:v>365</x:v>
      </x:c>
      <x:c r="F57" s="1" t="str">
        <x:v>Unpaid</x:v>
      </x:c>
      <x:c r="G57" s="1" t="n">
        <x:f>MAX(0,MIN(E57,$J$6-C57+1))</x:f>
        <x:v>195</x:v>
      </x:c>
      <x:c r="H57" s="7" t="n">
        <x:f>ROUND(D57*G57/E57,2)</x:f>
        <x:v>169890.41</x:v>
      </x:c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2" customHeight="1">
      <x:c r="A58" s="1" t="str">
        <x:v>C0053</x:v>
      </x:c>
      <x:c r="B58" s="1" t="str">
        <x:v>O0544</x:v>
      </x:c>
      <x:c r="C58" s="8" t="d">
        <x:v>2026-08-22T00:00:00.000Z</x:v>
      </x:c>
      <x:c r="D58" s="7" t="n">
        <x:v>447000</x:v>
      </x:c>
      <x:c r="E58" s="1" t="n">
        <x:v>365</x:v>
      </x:c>
      <x:c r="F58" s="1" t="str">
        <x:v>Part-paid</x:v>
      </x:c>
      <x:c r="G58" s="1" t="n">
        <x:f>MAX(0,MIN(E58,$J$6-C58+1))</x:f>
        <x:v>40</x:v>
      </x:c>
      <x:c r="H58" s="7" t="n">
        <x:f>ROUND(D58*G58/E58,2)</x:f>
        <x:v>48986.3</x:v>
      </x:c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2" customHeight="1">
      <x:c r="A59" s="1" t="str">
        <x:v>C0054</x:v>
      </x:c>
      <x:c r="B59" s="1" t="str">
        <x:v>O0557</x:v>
      </x:c>
      <x:c r="C59" s="8" t="d">
        <x:v>2026-07-18T00:00:00.000Z</x:v>
      </x:c>
      <x:c r="D59" s="7" t="n">
        <x:v>301000</x:v>
      </x:c>
      <x:c r="E59" s="1" t="n">
        <x:v>365</x:v>
      </x:c>
      <x:c r="F59" s="1" t="str">
        <x:v>Unpaid</x:v>
      </x:c>
      <x:c r="G59" s="1" t="n">
        <x:f>MAX(0,MIN(E59,$J$6-C59+1))</x:f>
        <x:v>75</x:v>
      </x:c>
      <x:c r="H59" s="7" t="n">
        <x:f>ROUND(D59*G59/E59,2)</x:f>
        <x:v>61849.32</x:v>
      </x:c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2" customHeight="1">
      <x:c r="A60" s="1" t="str">
        <x:v>C0055</x:v>
      </x:c>
      <x:c r="B60" s="1" t="str">
        <x:v>O0563</x:v>
      </x:c>
      <x:c r="C60" s="8" t="d">
        <x:v>2026-02-27T00:00:00.000Z</x:v>
      </x:c>
      <x:c r="D60" s="7" t="n">
        <x:v>127000</x:v>
      </x:c>
      <x:c r="E60" s="1" t="n">
        <x:v>365</x:v>
      </x:c>
      <x:c r="F60" s="1" t="str">
        <x:v>Part-paid</x:v>
      </x:c>
      <x:c r="G60" s="1" t="n">
        <x:f>MAX(0,MIN(E60,$J$6-C60+1))</x:f>
        <x:v>216</x:v>
      </x:c>
      <x:c r="H60" s="7" t="n">
        <x:f>ROUND(D60*G60/E60,2)</x:f>
        <x:v>75156.16</x:v>
      </x:c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2" customHeight="1">
      <x:c r="A61" s="1" t="str">
        <x:v>C0056</x:v>
      </x:c>
      <x:c r="B61" s="1" t="str">
        <x:v>O0569</x:v>
      </x:c>
      <x:c r="C61" s="8" t="d">
        <x:v>2026-09-15T00:00:00.000Z</x:v>
      </x:c>
      <x:c r="D61" s="7" t="n">
        <x:v>89000</x:v>
      </x:c>
      <x:c r="E61" s="1" t="n">
        <x:v>365</x:v>
      </x:c>
      <x:c r="F61" s="1" t="str">
        <x:v>Part-paid</x:v>
      </x:c>
      <x:c r="G61" s="1" t="n">
        <x:f>MAX(0,MIN(E61,$J$6-C61+1))</x:f>
        <x:v>16</x:v>
      </x:c>
      <x:c r="H61" s="7" t="n">
        <x:f>ROUND(D61*G61/E61,2)</x:f>
        <x:v>3901.37</x:v>
      </x:c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2" customHeight="1">
      <x:c r="A62" s="1" t="str">
        <x:v>C0057</x:v>
      </x:c>
      <x:c r="B62" s="1" t="str">
        <x:v>O0596</x:v>
      </x:c>
      <x:c r="C62" s="8" t="d">
        <x:v>2026-04-20T00:00:00.000Z</x:v>
      </x:c>
      <x:c r="D62" s="7" t="n">
        <x:v>841000</x:v>
      </x:c>
      <x:c r="E62" s="1" t="n">
        <x:v>365</x:v>
      </x:c>
      <x:c r="F62" s="1" t="str">
        <x:v>Part-paid</x:v>
      </x:c>
      <x:c r="G62" s="1" t="n">
        <x:f>MAX(0,MIN(E62,$J$6-C62+1))</x:f>
        <x:v>164</x:v>
      </x:c>
      <x:c r="H62" s="7" t="n">
        <x:f>ROUND(D62*G62/E62,2)</x:f>
        <x:v>377873.97</x:v>
      </x:c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2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2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2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2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2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2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2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2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2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2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2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2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2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2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2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2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2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2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2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2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2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2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2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2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2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2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2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2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2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2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2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2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2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2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2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2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2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2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2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2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2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2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2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2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2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2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2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2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2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2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2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2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2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2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2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2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2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2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2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2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2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2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2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2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2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2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2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2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2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2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2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2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2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2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2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2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2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2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2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2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2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2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2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2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2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2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2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2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2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2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2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2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2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2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2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2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2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2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2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2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2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2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2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2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2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2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2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2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2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2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2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2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2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2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2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2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2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2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2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2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2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2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2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2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2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2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2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2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2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2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2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2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2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2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2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2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2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2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2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2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2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2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2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2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2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2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2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2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2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2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2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2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2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2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2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2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2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2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2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2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2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2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2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2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2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2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2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2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2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2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2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2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2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2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2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2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2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2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2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2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2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2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2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2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2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2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2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2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2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2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2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2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2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2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2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2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2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2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2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2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2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2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2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2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2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2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2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2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2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2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2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2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2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2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2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2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2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2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2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2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2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2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2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2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2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2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2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2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2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2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2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2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2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2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2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2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2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2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2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2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2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2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2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2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2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2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2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2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2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2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2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2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2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2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2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2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2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2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2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2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2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2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2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2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2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2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2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2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2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2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2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2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2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2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2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2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2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2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2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2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2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2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2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2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2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2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2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2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2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2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2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2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2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2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2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2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2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2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2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2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2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2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2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2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2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2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2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2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2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2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2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2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2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2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2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2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2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2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2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2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2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2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2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2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2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2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2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2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2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2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2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2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2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2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2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2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2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2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2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2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2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2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2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2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2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2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2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2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2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2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2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2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2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2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2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2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2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2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2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2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2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2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2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2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2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2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2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2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2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2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2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2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2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2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2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2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2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2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2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2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2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2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2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2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2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2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2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2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2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2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2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2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2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2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2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2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2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2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2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2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2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2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2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2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2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2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2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2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2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2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2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2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2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2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2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2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2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2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2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2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  <x:row r="601" ht="22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</x:row>
    <x:row r="602" ht="22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</x:row>
    <x:row r="603" ht="22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</x:row>
    <x:row r="604" ht="22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</x:row>
    <x:row r="605" ht="22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</x:row>
    <x:row r="606" ht="22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</x:row>
    <x:row r="607" ht="22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</x:row>
    <x:row r="608" ht="22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</x:row>
    <x:row r="609" ht="22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</x:row>
    <x:row r="610" ht="22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</x:row>
  </x:sheetData>
  <x:pageMargins left="0.7" right="0.7" top="0.75" bottom="0.75" header="0.3" footer="0.3"/>
  <x:tableParts count="1">
    <x:tablePart xmlns:r="http://schemas.openxmlformats.org/officeDocument/2006/relationships" r:id="Re688d2cf94d444b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Definitions and refresh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3" t="str">
        <x:v>All institutions and commercial values are simulated. No real partnership claim.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6" t="str">
        <x:v>Metric or action</x:v>
      </x:c>
      <x:c r="B5" s="6" t="str">
        <x:v>Definition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Active pipeline</x:v>
      </x:c>
      <x:c r="B6" s="1" t="str">
        <x:v>Sum estimated value of Open opportunities.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Signed value</x:v>
      </x:c>
      <x:c r="B7" s="1" t="str">
        <x:v>Sum value of Won opportunities.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Recognized revenue</x:v>
      </x:c>
      <x:c r="B8" s="1" t="str">
        <x:v>Daily straight-line accrual from signature inclusive, capped at 365 days.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Win rate</x:v>
      </x:c>
      <x:c r="B9" s="1" t="str">
        <x:v>Won / (Won + Lost); N/A when no closed opportunities.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 t="str">
        <x:v>Average won deal</x:v>
      </x:c>
      <x:c r="B10" s="1" t="str">
        <x:v>Won value / won count.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Forecast</x:v>
      </x:c>
      <x:c r="B11" s="1" t="str">
        <x:v>Eligible Q4 open value × capped probability × scenario multiplier.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 t="str">
        <x:v>Priority</x:v>
      </x:c>
      <x:c r="B12" s="1" t="str">
        <x:v>Sum components; High ≥70, Medium ≥45, Low &lt;45.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 t="str">
        <x:v>Lead score inputs</x:v>
      </x:c>
      <x:c r="B13" s="1" t="str">
        <x:v>Python-calculated component points, imported as editable values.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 t="str">
        <x:v>Source refresh</x:v>
      </x:c>
      <x:c r="B14" s="1" t="str">
        <x:v>Run python -m src.generate and python -m src.export, then workbook builder.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 t="str">
        <x:v>Formula editing</x:v>
      </x:c>
      <x:c r="B15" s="1" t="str">
        <x:v>Scenario multipliers are yellow inputs. Excel recomputes summaries and charts.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 t="str">
        <x:v>Scope</x:v>
      </x:c>
      <x:c r="B16" s="1" t="str">
        <x:v>Workbook remains a snapshot. Refresh rebuilds rows and removes manual edits.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 t="str">
        <x:v>Simulation provenance</x:v>
      </x:c>
      <x:c r="B17" s="1" t="str">
        <x:v>docs/SOURCES.md; deterministic seed 20261017.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2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2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2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2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2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2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2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2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2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2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2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2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2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2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2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2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2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2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2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2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2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2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2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2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2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2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2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2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2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2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2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2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2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2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2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2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2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2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2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2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2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2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2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2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2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2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2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2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2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2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2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2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2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2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2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2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2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2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2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2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2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2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2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2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2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2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2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2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2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2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2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2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2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2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2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2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2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2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2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2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2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2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2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2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2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2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2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2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2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2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2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2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2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2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2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2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2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2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2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2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2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2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2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2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2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2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2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2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2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2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2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2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2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2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2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2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2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2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2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2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2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2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2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2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2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2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2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2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2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2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2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2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2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2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2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2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2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2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2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2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2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2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2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2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2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2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2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2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2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2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2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2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2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2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2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2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2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2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2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2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2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2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2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2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2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2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2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2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2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2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2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2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2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2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2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2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2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2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2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2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2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2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2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2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2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2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2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2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2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2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2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2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2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2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2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2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2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2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2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2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2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2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2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2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2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2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2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2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2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2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2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2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2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2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2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2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2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2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2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2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2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2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2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2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2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2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2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2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2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2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2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2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2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2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2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2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2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2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2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2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2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2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2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2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2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2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2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2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2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2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2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2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2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2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2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2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2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2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2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2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2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2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2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2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2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2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2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2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2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2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2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2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2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2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2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2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2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2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2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2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2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2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2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2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2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2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2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2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2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2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2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2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2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2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2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2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2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2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2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2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2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2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2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2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2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2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2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2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2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2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2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2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2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2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2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2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2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2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2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2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2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2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2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2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2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2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2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2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2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2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2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2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2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2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2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2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2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2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2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2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2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2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2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2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2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2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2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2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2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2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2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2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2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2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2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2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2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2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2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2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2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2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2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2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2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2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2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2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2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2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2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2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2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2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2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2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2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2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2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2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2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2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2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2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2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2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2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2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2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2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2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2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2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2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2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2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2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2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2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2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2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2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2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2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2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2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2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2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2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2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2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2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2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2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2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2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2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2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2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2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  <x:row r="601" ht="22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</x:row>
    <x:row r="602" ht="22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</x:row>
    <x:row r="603" ht="22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</x:row>
    <x:row r="604" ht="22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</x:row>
    <x:row r="605" ht="22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</x:row>
    <x:row r="606" ht="22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</x:row>
    <x:row r="607" ht="22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</x:row>
    <x:row r="608" ht="22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</x:row>
    <x:row r="609" ht="22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</x:row>
    <x:row r="610" ht="22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</x:row>
  </x:sheetData>
  <x:pageMargins left="0.7" right="0.7" top="0.75" bottom="0.75" header="0.3" footer="0.3"/>
  <x:tableParts count="1">
    <x:tablePart xmlns:r="http://schemas.openxmlformats.org/officeDocument/2006/relationships" r:id="Rcb3f6bb0ea86412d"/>
  </x:tableParts>
</x:worksheet>
</file>